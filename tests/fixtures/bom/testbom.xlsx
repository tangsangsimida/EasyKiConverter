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模板" state="visible" r:id="rId4"/>
    <sheet sheetId="2" name="Field汇总" state="visible" r:id="rId5"/>
  </sheets>
  <calcPr calcId="171027" fullCalcOnLoad="1"/>
</workbook>
</file>

<file path=xl/sharedStrings.xml><?xml version="1.0" encoding="utf-8"?>
<sst xmlns="http://schemas.openxmlformats.org/spreadsheetml/2006/main" count="603" uniqueCount="354">
  <si>
    <t/>
  </si>
  <si>
    <t xml:space="preserve">Bill of Materials </t>
  </si>
  <si>
    <t>BOM_MP6539GV_Main_2026-02-10</t>
  </si>
  <si>
    <t>Project Title：</t>
  </si>
  <si>
    <t>MPS低成本-FFOC-MP6539GV</t>
  </si>
  <si>
    <t>Variant:</t>
  </si>
  <si>
    <t xml:space="preserve"> </t>
  </si>
  <si>
    <t>Report Time：</t>
  </si>
  <si>
    <t>2026年2月10日 15:14:53</t>
  </si>
  <si>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</si>
  <si>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</si>
  <si>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</si>
  <si>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</si>
  <si>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</si>
  <si>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</si>
  <si>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</si>
  <si>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</si>
  <si>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</si>
  <si>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</si>
  <si>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</si>
  <si>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Total</t>
  </si>
  <si>
    <t>100nF</t>
  </si>
  <si>
    <t>C1, C2, C47, C52, C53</t>
  </si>
  <si>
    <t>c0603_s</t>
  </si>
  <si>
    <t>CGA0603X7R104K500JT</t>
  </si>
  <si>
    <t>HRE(芯声)</t>
  </si>
  <si>
    <t>C6119867</t>
  </si>
  <si>
    <t>LCSC</t>
  </si>
  <si>
    <t>0.012</t>
  </si>
  <si>
    <t>1uF</t>
  </si>
  <si>
    <t>C3, C58</t>
  </si>
  <si>
    <t>CL10A105KB8NNNC</t>
  </si>
  <si>
    <t>SAMSUNG(三星)</t>
  </si>
  <si>
    <t>C15849</t>
  </si>
  <si>
    <t>0.035</t>
  </si>
  <si>
    <t>4.7uF</t>
  </si>
  <si>
    <t>C4, C5, C6</t>
  </si>
  <si>
    <t>CL10A475KA8NQNC</t>
  </si>
  <si>
    <t>C69335</t>
  </si>
  <si>
    <t>0.1002</t>
  </si>
  <si>
    <t>10nF</t>
  </si>
  <si>
    <t>C7</t>
  </si>
  <si>
    <t>CC0603KRX7R9BB103</t>
  </si>
  <si>
    <t>YAGEO(国巨)</t>
  </si>
  <si>
    <t>C100042</t>
  </si>
  <si>
    <t>0.0147</t>
  </si>
  <si>
    <t>10uF</t>
  </si>
  <si>
    <t>C8, C9, C10, C11, C12, C13, C14, C15, C16, C17, C18, C19, C20, C21, C22, C23, C24, C25, C26, C27, C28, C29, C30, C31, C32, C48, C49</t>
  </si>
  <si>
    <t>c1206_s</t>
  </si>
  <si>
    <t>HGC1206R5106K500NSPJ</t>
  </si>
  <si>
    <t>Chinocera(华瓷)</t>
  </si>
  <si>
    <t>C7432781</t>
  </si>
  <si>
    <t>0.191</t>
  </si>
  <si>
    <t>C33, C34, C35, C38, C39, C43</t>
  </si>
  <si>
    <t>CC0603KRX7R9BB104</t>
  </si>
  <si>
    <t>C14663</t>
  </si>
  <si>
    <t>0.0162</t>
  </si>
  <si>
    <t>C40, C41</t>
  </si>
  <si>
    <t>0603B104K500NT</t>
  </si>
  <si>
    <t>FH(风华)</t>
  </si>
  <si>
    <t>C30926</t>
  </si>
  <si>
    <t>0.0157</t>
  </si>
  <si>
    <t>470nF</t>
  </si>
  <si>
    <t>C42</t>
  </si>
  <si>
    <t>CL10B474KA8NNNC</t>
  </si>
  <si>
    <t>C1623</t>
  </si>
  <si>
    <t>0.0478</t>
  </si>
  <si>
    <t>1nF</t>
  </si>
  <si>
    <t>C45, C46, C59, C60, C61</t>
  </si>
  <si>
    <t>0603B102K500NT</t>
  </si>
  <si>
    <t>C44369</t>
  </si>
  <si>
    <t>0.0185</t>
  </si>
  <si>
    <t>2.2uF</t>
  </si>
  <si>
    <t>C50, C51</t>
  </si>
  <si>
    <t>CL10A225KB8NNNC</t>
  </si>
  <si>
    <t>C913904</t>
  </si>
  <si>
    <t>0.1416</t>
  </si>
  <si>
    <t>22uF</t>
  </si>
  <si>
    <t>C54, C55</t>
  </si>
  <si>
    <t>CL31A226KOHNNNE</t>
  </si>
  <si>
    <t>C90146</t>
  </si>
  <si>
    <t>0.2403</t>
  </si>
  <si>
    <t>C56, C57</t>
  </si>
  <si>
    <t>CL10A106KQ8NNNC</t>
  </si>
  <si>
    <t>C95839</t>
  </si>
  <si>
    <t>0.0482</t>
  </si>
  <si>
    <t>C62</t>
  </si>
  <si>
    <t>0603B103K500NT</t>
  </si>
  <si>
    <t>C57112</t>
  </si>
  <si>
    <t>0.0172</t>
  </si>
  <si>
    <t>B16WS</t>
  </si>
  <si>
    <t>D1, D2, D3, D4, D5, D6, D11</t>
  </si>
  <si>
    <t>sod-323_l1.8-w1.3-ls2.5-rd</t>
  </si>
  <si>
    <t>MDD</t>
  </si>
  <si>
    <t>C364278</t>
  </si>
  <si>
    <t>0.1825</t>
  </si>
  <si>
    <t>PESD1CAN</t>
  </si>
  <si>
    <t>D7</t>
  </si>
  <si>
    <t>SOT-23-3_L2.9-W1.6-P1.90-LS2.8-BR</t>
  </si>
  <si>
    <t>TECH PUBLIC(台舟)</t>
  </si>
  <si>
    <t>C907838</t>
  </si>
  <si>
    <t>0.2622</t>
  </si>
  <si>
    <t>ES1JLWS</t>
  </si>
  <si>
    <t>D8, D9</t>
  </si>
  <si>
    <t>SOD-323_L1.6-W1.3-LS2.7-RD</t>
  </si>
  <si>
    <t>晶导微电子</t>
  </si>
  <si>
    <t>C2826554</t>
  </si>
  <si>
    <t>0.1531</t>
  </si>
  <si>
    <t>LMBR240ET1G</t>
  </si>
  <si>
    <t>D10</t>
  </si>
  <si>
    <t>SOD323HE_L1.8-W1.3-LS2.5-RD-1</t>
  </si>
  <si>
    <t>LRC(乐山无线电)</t>
  </si>
  <si>
    <t>C383229</t>
  </si>
  <si>
    <t>0.4355</t>
  </si>
  <si>
    <t>PRTR5V0U2X</t>
  </si>
  <si>
    <t>D12</t>
  </si>
  <si>
    <t>SOT-143-4_L2.9-W1.3-P1.92-LS2.4-BL</t>
  </si>
  <si>
    <t>C2827688</t>
  </si>
  <si>
    <t>0.4111</t>
  </si>
  <si>
    <t>JK-SMD0603-005</t>
  </si>
  <si>
    <t>F1, F2</t>
  </si>
  <si>
    <t>F0603</t>
  </si>
  <si>
    <t>JK(金科)</t>
  </si>
  <si>
    <t>C369141</t>
  </si>
  <si>
    <t>0.1791</t>
  </si>
  <si>
    <t>10uH</t>
  </si>
  <si>
    <t>L1</t>
  </si>
  <si>
    <t>IND-SMD_L2.5-W2.0</t>
  </si>
  <si>
    <t>FTC252012S100MBCA</t>
  </si>
  <si>
    <t>cjiang(长江微电)</t>
  </si>
  <si>
    <t>C5832376</t>
  </si>
  <si>
    <t>0.269</t>
  </si>
  <si>
    <t>NCD0603B1</t>
  </si>
  <si>
    <t>LED1, LED5, LED6, LED7</t>
  </si>
  <si>
    <t>LED0603-RD</t>
  </si>
  <si>
    <t>国星光电</t>
  </si>
  <si>
    <t>C84266</t>
  </si>
  <si>
    <t>0.104</t>
  </si>
  <si>
    <t>19-219/GHC-YR2T1B5Y/3T</t>
  </si>
  <si>
    <t>LED2, LED3</t>
  </si>
  <si>
    <t>LED0603-RD_GREEN</t>
  </si>
  <si>
    <t>EVERLIGHT(亿光)</t>
  </si>
  <si>
    <t>C2994781</t>
  </si>
  <si>
    <t>0.4409</t>
  </si>
  <si>
    <t>MHT192WDT-ICE</t>
  </si>
  <si>
    <t>LED4</t>
  </si>
  <si>
    <t>MEIHUA(美华)</t>
  </si>
  <si>
    <t>C389522</t>
  </si>
  <si>
    <t>0.2727</t>
  </si>
  <si>
    <t>XL-3528RGBW-WS2812B</t>
  </si>
  <si>
    <t>LED8</t>
  </si>
  <si>
    <t>LED-SMD_4P-L3.5-W2.8-BR-1</t>
  </si>
  <si>
    <t>XINGLIGHT(成兴光)</t>
  </si>
  <si>
    <t>C2890364</t>
  </si>
  <si>
    <t>0.5451</t>
  </si>
  <si>
    <t>NCP18XH103F03RB</t>
  </si>
  <si>
    <t>NTC1</t>
  </si>
  <si>
    <t>r0603_s</t>
  </si>
  <si>
    <t>muRata(村田)</t>
  </si>
  <si>
    <t>C13564</t>
  </si>
  <si>
    <t>0.2355</t>
  </si>
  <si>
    <t>NTMFSC0D9N04CL</t>
  </si>
  <si>
    <t>Q1, Q2, Q3, Q5, Q6, Q7</t>
  </si>
  <si>
    <t>DFN-8_L5.8-W4.9-P1.27-LS6.2-BL</t>
  </si>
  <si>
    <t>onsemi(安森美)</t>
  </si>
  <si>
    <t>C894041</t>
  </si>
  <si>
    <t>17.32</t>
  </si>
  <si>
    <t>S8050 J3Y</t>
  </si>
  <si>
    <t>Q4</t>
  </si>
  <si>
    <t>SOT-23-3_L3.0-W1.7-P0.95-LS2.9-BR</t>
  </si>
  <si>
    <t>CJ(江苏长电/长晶)</t>
  </si>
  <si>
    <t>C2146</t>
  </si>
  <si>
    <t>0.0833</t>
  </si>
  <si>
    <t>JSM2301S</t>
  </si>
  <si>
    <t>Q8</t>
  </si>
  <si>
    <t>SOT-23-3_L2.9-W1.3-P1.90-LS2.4-BR</t>
  </si>
  <si>
    <t>JSMSEMI(杰盛微)</t>
  </si>
  <si>
    <t>C916399</t>
  </si>
  <si>
    <t>0.068</t>
  </si>
  <si>
    <t>0Ω</t>
  </si>
  <si>
    <t>R1, R2, R3, R4, R5, R6, R9, R11, R15, R28, R40, R42</t>
  </si>
  <si>
    <t>0603WAF0000T5E</t>
  </si>
  <si>
    <t>UNI-ROYAL(厚声)</t>
  </si>
  <si>
    <t>C21189</t>
  </si>
  <si>
    <t>0.0071</t>
  </si>
  <si>
    <t>10kΩ</t>
  </si>
  <si>
    <t>R7, R23, R29, R35, R38, R43, R65, R66</t>
  </si>
  <si>
    <t>0603WAF1002T5E</t>
  </si>
  <si>
    <t>C25804</t>
  </si>
  <si>
    <t>0.007</t>
  </si>
  <si>
    <t>150kΩ</t>
  </si>
  <si>
    <t>R8</t>
  </si>
  <si>
    <t>0603WAF1503T5E</t>
  </si>
  <si>
    <t>C22807</t>
  </si>
  <si>
    <t>0.0076</t>
  </si>
  <si>
    <t>100kΩ</t>
  </si>
  <si>
    <t>R10, R41, R44, R45</t>
  </si>
  <si>
    <t>RC0603FR-07100KL</t>
  </si>
  <si>
    <t>C14675</t>
  </si>
  <si>
    <t>0.008</t>
  </si>
  <si>
    <t>0.5mΩ</t>
  </si>
  <si>
    <t>R12, R13, R14</t>
  </si>
  <si>
    <t>r2512_s</t>
  </si>
  <si>
    <t>LR2512D-3W-0.5mR-1%</t>
  </si>
  <si>
    <t>Milliohm(毫欧)</t>
  </si>
  <si>
    <t>C500733</t>
  </si>
  <si>
    <t>0.7671</t>
  </si>
  <si>
    <t>1kΩ</t>
  </si>
  <si>
    <t>R16</t>
  </si>
  <si>
    <t>0603WAF1001T5E</t>
  </si>
  <si>
    <t>C21190</t>
  </si>
  <si>
    <t>0.0072</t>
  </si>
  <si>
    <t>2kΩ</t>
  </si>
  <si>
    <t>R17, R39</t>
  </si>
  <si>
    <t>0603WAF2001T5E</t>
  </si>
  <si>
    <t>C22975</t>
  </si>
  <si>
    <t>0.0074</t>
  </si>
  <si>
    <t>3.3kΩ</t>
  </si>
  <si>
    <t>R18, R19, R20, R21, R22</t>
  </si>
  <si>
    <t>0603WAF3301T5E</t>
  </si>
  <si>
    <t>C22978</t>
  </si>
  <si>
    <t>22Ω</t>
  </si>
  <si>
    <t>R24, R25, R26, R27, R34, R37, R51, R52, R61</t>
  </si>
  <si>
    <t>0603WAF220JT5E</t>
  </si>
  <si>
    <t>C23345</t>
  </si>
  <si>
    <t>0.0066</t>
  </si>
  <si>
    <t>120Ω</t>
  </si>
  <si>
    <t>R30</t>
  </si>
  <si>
    <t>0603WAF1200T5E</t>
  </si>
  <si>
    <t>C22787</t>
  </si>
  <si>
    <t>0.0078</t>
  </si>
  <si>
    <t>5.1kΩ</t>
  </si>
  <si>
    <t>R31, R32</t>
  </si>
  <si>
    <t>0603WAF5101T5E</t>
  </si>
  <si>
    <t>C23186</t>
  </si>
  <si>
    <t>15kΩ</t>
  </si>
  <si>
    <t>R33, R36</t>
  </si>
  <si>
    <t>0603WAF1502T5E</t>
  </si>
  <si>
    <t>C22809</t>
  </si>
  <si>
    <t>20kΩ</t>
  </si>
  <si>
    <t>R46, R47, R53, R55, R57, R63</t>
  </si>
  <si>
    <t>RT0603BRD0720KL</t>
  </si>
  <si>
    <t>C723637</t>
  </si>
  <si>
    <t>0.1425</t>
  </si>
  <si>
    <t>R48, R49, R50, R54, R58, R60</t>
  </si>
  <si>
    <t>RT0603BRD071KL</t>
  </si>
  <si>
    <t>C110776</t>
  </si>
  <si>
    <t>0.1389</t>
  </si>
  <si>
    <t>RF_R1</t>
  </si>
  <si>
    <t>0603WAF2002T5E</t>
  </si>
  <si>
    <t>C4184</t>
  </si>
  <si>
    <t>41.2kΩ</t>
  </si>
  <si>
    <t>RF_R2</t>
  </si>
  <si>
    <t>0603WAF4122T5E</t>
  </si>
  <si>
    <t>C23166</t>
  </si>
  <si>
    <t>7.68kΩ</t>
  </si>
  <si>
    <t>RF_R3</t>
  </si>
  <si>
    <t>0603WAF7681T5E</t>
  </si>
  <si>
    <t>C23102</t>
  </si>
  <si>
    <t>0.0079</t>
  </si>
  <si>
    <t>SMAJ36CA/TR13</t>
  </si>
  <si>
    <t>TV1</t>
  </si>
  <si>
    <t>SMA_L4.4-W2.6-LS5.0-BI</t>
  </si>
  <si>
    <t>Brightking(君耀电子)</t>
  </si>
  <si>
    <t>C87270</t>
  </si>
  <si>
    <t>0.2445</t>
  </si>
  <si>
    <t>MP6539GV-P</t>
  </si>
  <si>
    <t>U1</t>
  </si>
  <si>
    <t>QFN50P400X500X100-28M</t>
  </si>
  <si>
    <t>MPS(芯源)</t>
  </si>
  <si>
    <t>C6674797</t>
  </si>
  <si>
    <t>STM32G474CET6</t>
  </si>
  <si>
    <t>U2</t>
  </si>
  <si>
    <t>LQFP-48_L7.0-W7.0-P0.50-LS9.0-BL</t>
  </si>
  <si>
    <t>ST(意法半导体)</t>
  </si>
  <si>
    <t>C730125</t>
  </si>
  <si>
    <t>80.18</t>
  </si>
  <si>
    <t>TLV75733PDBVR</t>
  </si>
  <si>
    <t>U3</t>
  </si>
  <si>
    <t>SOT-23-5_L2.9-W1.6-P0.95-LS2.8-BL</t>
  </si>
  <si>
    <t>TI(德州仪器)</t>
  </si>
  <si>
    <t>C485517</t>
  </si>
  <si>
    <t>1.1552</t>
  </si>
  <si>
    <t>REF3033AIDBZR</t>
  </si>
  <si>
    <t>U4</t>
  </si>
  <si>
    <t>C36658</t>
  </si>
  <si>
    <t>1.4353</t>
  </si>
  <si>
    <t>SIT1050TK</t>
  </si>
  <si>
    <t>U5</t>
  </si>
  <si>
    <t>TDFN-8_L3.0-W3.0-P0.65-BL-EP</t>
  </si>
  <si>
    <t>SIT(芯力特)</t>
  </si>
  <si>
    <t>C427444</t>
  </si>
  <si>
    <t>2.48</t>
  </si>
  <si>
    <t>SDCW2012-2-221TF</t>
  </si>
  <si>
    <t>U6</t>
  </si>
  <si>
    <t>Sunlord(顺络)</t>
  </si>
  <si>
    <t>C2844283</t>
  </si>
  <si>
    <t>0.4521</t>
  </si>
  <si>
    <t>BX-BX-GH1.25-2PLT</t>
  </si>
  <si>
    <t>U7</t>
  </si>
  <si>
    <t>CONN-SMD_2P-P1.25_BX-BX-GH1.25-2PLT</t>
  </si>
  <si>
    <t>Bossie(博锡)</t>
  </si>
  <si>
    <t>C18077709</t>
  </si>
  <si>
    <t>0.383</t>
  </si>
  <si>
    <t>MP4573</t>
  </si>
  <si>
    <t>U8</t>
  </si>
  <si>
    <t>fcqfn12l/2.5x3mm</t>
  </si>
  <si>
    <t>*</t>
  </si>
  <si>
    <t>RS721XF</t>
  </si>
  <si>
    <t>U9, U10, U11</t>
  </si>
  <si>
    <t>TSOT-23-5_L2.9-W1.6-P0.95-LS2.8-BL</t>
  </si>
  <si>
    <t>RUNIC(润石)</t>
  </si>
  <si>
    <t>C237009</t>
  </si>
  <si>
    <t>3.1221</t>
  </si>
  <si>
    <t>LM321MF/NOPB</t>
  </si>
  <si>
    <t>U12</t>
  </si>
  <si>
    <t>SOT-23-5_L3.0-W1.7-P0.95-LS2.8-BR</t>
  </si>
  <si>
    <t>C131103</t>
  </si>
  <si>
    <t>1.3016</t>
  </si>
  <si>
    <t>HC-TYPE-C-16P-01A-R</t>
  </si>
  <si>
    <t>USB1</t>
  </si>
  <si>
    <t>USB-C-SMD_G-SWITCH_GT-USB-7010EN</t>
  </si>
  <si>
    <t>HCTL(华灿天禄)</t>
  </si>
  <si>
    <t>C2997433</t>
  </si>
  <si>
    <t>0.9719</t>
  </si>
  <si>
    <t>12MHz</t>
  </si>
  <si>
    <t>X1</t>
  </si>
  <si>
    <t>OSC-SMD_4P-L3.2-W2.5-BL</t>
  </si>
  <si>
    <t>OT2EL89CJI-111YLC-12M</t>
  </si>
  <si>
    <t>YXC(扬兴晶振)</t>
  </si>
  <si>
    <t>C5280582</t>
  </si>
  <si>
    <t>3.03</t>
  </si>
  <si>
    <t>GH125-S06CCA-00</t>
  </si>
  <si>
    <t>X2, X3</t>
  </si>
  <si>
    <t>CONN-SMD_6P-P1.25_JS_GH125-S06CCA-00</t>
  </si>
  <si>
    <t>JS(钜硕电子)</t>
  </si>
  <si>
    <t>C2886784</t>
  </si>
  <si>
    <t>0.4738</t>
  </si>
  <si>
    <t>Project Title</t>
  </si>
  <si>
    <t>Borard Title</t>
  </si>
  <si>
    <t>MP6539GV</t>
  </si>
  <si>
    <t>Schematic Title</t>
  </si>
  <si>
    <t>PCB Title</t>
  </si>
  <si>
    <t>Main</t>
  </si>
  <si>
    <t>Variant Name</t>
  </si>
  <si>
    <t>Total Quantity</t>
  </si>
  <si>
    <t>Report Time</t>
  </si>
  <si>
    <t>15:14:53</t>
  </si>
  <si>
    <t>Report Date</t>
  </si>
  <si>
    <t>2026年2月10日</t>
  </si>
  <si>
    <t>Report Date&amp;Time</t>
  </si>
  <si>
    <t>File Name</t>
  </si>
  <si>
    <t>Filter Option</t>
  </si>
  <si>
    <t xml:space="preserve">Add into BOM:no;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</si>
</sst>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;¥-#,##0.00"/>
  </numFmts>
  <fonts count="3" x14ac:knownFonts="1">
    <font>
      <color theme="1"/>
      <family val="2"/>
      <scheme val="minor"/>
      <sz val="11"/>
      <name val="Calibri"/>
    </font>
    <font>
      <charset val="134"/>
      <color theme="1"/>
      <sz val="11"/>
      <name val="等线"/>
    </font>
    <font>
      <b/>
      <charset val="134"/>
      <color theme="1"/>
      <sz val="11"/>
      <name val="等线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3" xfId="0" applyFont="1" applyBorder="1" applyAlignment="1">
      <alignment horizontal="left" vertical="center"/>
    </xf>
    <xf numFmtId="0" fontId="1" fillId="3" borderId="3" xfId="0" applyFont="1" applyFill="1" applyBorder="1"/>
    <xf numFmtId="164" fontId="1" fillId="3" borderId="3" xfId="0" applyNumberFormat="1" applyFont="1" applyFill="1" applyBorder="1"/>
    <xf numFmtId="164" fontId="1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197826</xdr:colOff>
      <xdr:row>0</xdr:row>
      <xdr:rowOff>139213</xdr:rowOff>
    </xdr:from>
    <xdr:to>
      <xdr:col>3</xdr:col>
      <xdr:colOff>1128346</xdr:colOff>
      <xdr:row>4</xdr:row>
      <xdr:rowOff>105091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workbookViewId="0" showGridLines="0" zoomScale="115" zoomScaleNormal="115">
      <selection activeCell="E17" sqref="E17"/>
    </sheetView>
  </sheetViews>
  <sheetFormatPr defaultRowHeight="14.25" outlineLevelRow="0" outlineLevelCol="0" x14ac:dyDescent="0" defaultColWidth="9" customHeight="1"/>
  <cols>
    <col min="1" max="1" width="16.25" customWidth="1"/>
    <col min="2" max="2" width="17.125" customWidth="1"/>
    <col min="3" max="3" width="18" customWidth="1"/>
    <col min="4" max="4" width="15.25" customWidth="1"/>
    <col min="5" max="5" width="13.125" customWidth="1"/>
    <col min="6" max="6" width="13.25" customWidth="1"/>
    <col min="7" max="7" width="14.375" customWidth="1"/>
    <col min="8" max="8" width="16.875" customWidth="1"/>
    <col min="9" max="9" width="13.375" customWidth="1"/>
    <col min="10" max="10" width="14.375" customWidth="1"/>
    <col min="11" max="11" width="10.25" customWidth="1"/>
  </cols>
  <sheetData>
    <row r="1" spans="1:12" x14ac:dyDescent="0.25">
      <c r="A1" s="1" t="s">
        <v>0</v>
      </c>
      <c r="B1" s="1"/>
      <c r="C1" s="1"/>
      <c r="D1" s="1"/>
      <c r="E1" s="2" t="s">
        <v>1</v>
      </c>
      <c r="F1" s="2" t="s">
        <v>2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s="3" t="s">
        <v>0</v>
      </c>
    </row>
    <row r="2" spans="1:12" x14ac:dyDescent="0.25">
      <c r="A2" s="1"/>
      <c r="B2" s="1"/>
      <c r="C2" s="1"/>
      <c r="D2" s="1"/>
      <c r="E2" s="2"/>
      <c r="F2" s="2"/>
      <c r="G2" t="s">
        <v>0</v>
      </c>
      <c r="H2" t="s">
        <v>0</v>
      </c>
      <c r="I2" t="s">
        <v>0</v>
      </c>
      <c r="J2" t="s">
        <v>0</v>
      </c>
      <c r="K2" t="s">
        <v>0</v>
      </c>
      <c r="L2" s="3" t="s">
        <v>0</v>
      </c>
    </row>
    <row r="3" spans="1:12" x14ac:dyDescent="0.25">
      <c r="A3" s="1"/>
      <c r="B3" s="1"/>
      <c r="C3" s="1"/>
      <c r="D3" s="1"/>
      <c r="E3" s="4" t="s">
        <v>3</v>
      </c>
      <c r="F3" t="s">
        <v>4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s="3" t="s">
        <v>0</v>
      </c>
    </row>
    <row r="4" spans="1:12" x14ac:dyDescent="0.25">
      <c r="A4" s="1"/>
      <c r="B4" s="1"/>
      <c r="C4" s="1"/>
      <c r="D4" s="1"/>
      <c r="E4" s="4" t="s">
        <v>5</v>
      </c>
      <c r="F4" t="s">
        <v>6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s="3" t="s">
        <v>0</v>
      </c>
    </row>
    <row r="5" spans="1:12" x14ac:dyDescent="0.25">
      <c r="A5" s="1"/>
      <c r="B5" s="1"/>
      <c r="C5" s="1"/>
      <c r="D5" s="1"/>
      <c r="E5" s="4" t="s">
        <v>7</v>
      </c>
      <c r="F5" t="s">
        <v>8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s="5" t="s">
        <v>0</v>
      </c>
    </row>
    <row r="6" spans="1:12" x14ac:dyDescent="0.25">
      <c r="A6" s="6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15</v>
      </c>
      <c r="H6" s="7" t="s">
        <v>16</v>
      </c>
      <c r="I6" s="7" t="s">
        <v>17</v>
      </c>
      <c r="J6" s="7" t="s">
        <v>18</v>
      </c>
      <c r="K6" s="7" t="s">
        <v>19</v>
      </c>
      <c r="L6" s="7" t="s">
        <v>20</v>
      </c>
    </row>
    <row r="7" spans="1:12" x14ac:dyDescent="0.25">
      <c r="A7" s="8">
        <f>ROW()-6</f>
      </c>
      <c r="B7" s="9">
        <v>5</v>
      </c>
      <c r="C7" s="9" t="s">
        <v>21</v>
      </c>
      <c r="D7" s="9" t="s">
        <v>22</v>
      </c>
      <c r="E7" s="9" t="s">
        <v>23</v>
      </c>
      <c r="F7" s="9" t="s">
        <v>21</v>
      </c>
      <c r="G7" s="9" t="s">
        <v>24</v>
      </c>
      <c r="H7" s="9" t="s">
        <v>25</v>
      </c>
      <c r="I7" s="9" t="s">
        <v>26</v>
      </c>
      <c r="J7" s="9" t="s">
        <v>27</v>
      </c>
      <c r="K7" s="9" t="s">
        <v>28</v>
      </c>
      <c r="L7" s="10">
        <f>B7*K7</f>
      </c>
    </row>
    <row r="8" spans="1:12" x14ac:dyDescent="0.25">
      <c r="A8" s="8">
        <f>ROW()-6</f>
      </c>
      <c r="B8" s="9">
        <v>2</v>
      </c>
      <c r="C8" s="9" t="s">
        <v>29</v>
      </c>
      <c r="D8" s="9" t="s">
        <v>30</v>
      </c>
      <c r="E8" s="9" t="s">
        <v>23</v>
      </c>
      <c r="F8" s="9" t="s">
        <v>29</v>
      </c>
      <c r="G8" s="9" t="s">
        <v>31</v>
      </c>
      <c r="H8" s="9" t="s">
        <v>32</v>
      </c>
      <c r="I8" s="9" t="s">
        <v>33</v>
      </c>
      <c r="J8" s="9" t="s">
        <v>27</v>
      </c>
      <c r="K8" s="9" t="s">
        <v>34</v>
      </c>
      <c r="L8" s="10">
        <f>B8*K8</f>
      </c>
    </row>
    <row r="9" spans="1:12" x14ac:dyDescent="0.25">
      <c r="A9" s="8">
        <f>ROW()-6</f>
      </c>
      <c r="B9" s="9">
        <v>3</v>
      </c>
      <c r="C9" s="9" t="s">
        <v>35</v>
      </c>
      <c r="D9" s="9" t="s">
        <v>36</v>
      </c>
      <c r="E9" s="9" t="s">
        <v>23</v>
      </c>
      <c r="F9" s="9" t="s">
        <v>35</v>
      </c>
      <c r="G9" s="9" t="s">
        <v>37</v>
      </c>
      <c r="H9" s="9" t="s">
        <v>32</v>
      </c>
      <c r="I9" s="9" t="s">
        <v>38</v>
      </c>
      <c r="J9" s="9" t="s">
        <v>27</v>
      </c>
      <c r="K9" s="9" t="s">
        <v>39</v>
      </c>
      <c r="L9" s="10">
        <f>B9*K9</f>
      </c>
    </row>
    <row r="10" spans="1:12" x14ac:dyDescent="0.25">
      <c r="A10" s="8">
        <f>ROW()-6</f>
      </c>
      <c r="B10" s="9">
        <v>1</v>
      </c>
      <c r="C10" s="9" t="s">
        <v>40</v>
      </c>
      <c r="D10" s="9" t="s">
        <v>41</v>
      </c>
      <c r="E10" s="9" t="s">
        <v>23</v>
      </c>
      <c r="F10" s="9" t="s">
        <v>40</v>
      </c>
      <c r="G10" s="9" t="s">
        <v>42</v>
      </c>
      <c r="H10" s="9" t="s">
        <v>43</v>
      </c>
      <c r="I10" s="9" t="s">
        <v>44</v>
      </c>
      <c r="J10" s="9" t="s">
        <v>27</v>
      </c>
      <c r="K10" s="9" t="s">
        <v>45</v>
      </c>
      <c r="L10" s="10">
        <f>B10*K10</f>
      </c>
    </row>
    <row r="11" spans="1:12" x14ac:dyDescent="0.25">
      <c r="A11" s="8">
        <f>ROW()-6</f>
      </c>
      <c r="B11" s="9">
        <v>27</v>
      </c>
      <c r="C11" s="9" t="s">
        <v>46</v>
      </c>
      <c r="D11" s="9" t="s">
        <v>47</v>
      </c>
      <c r="E11" s="9" t="s">
        <v>48</v>
      </c>
      <c r="F11" s="9" t="s">
        <v>46</v>
      </c>
      <c r="G11" s="9" t="s">
        <v>49</v>
      </c>
      <c r="H11" s="9" t="s">
        <v>50</v>
      </c>
      <c r="I11" s="9" t="s">
        <v>51</v>
      </c>
      <c r="J11" s="9" t="s">
        <v>27</v>
      </c>
      <c r="K11" s="9" t="s">
        <v>52</v>
      </c>
      <c r="L11" s="10">
        <f>B11*K11</f>
      </c>
    </row>
    <row r="12" spans="1:12" x14ac:dyDescent="0.25">
      <c r="A12" s="8">
        <f>ROW()-6</f>
      </c>
      <c r="B12" s="9">
        <v>6</v>
      </c>
      <c r="C12" s="9" t="s">
        <v>21</v>
      </c>
      <c r="D12" s="9" t="s">
        <v>53</v>
      </c>
      <c r="E12" s="9" t="s">
        <v>23</v>
      </c>
      <c r="F12" s="9" t="s">
        <v>21</v>
      </c>
      <c r="G12" s="9" t="s">
        <v>54</v>
      </c>
      <c r="H12" s="9" t="s">
        <v>43</v>
      </c>
      <c r="I12" s="9" t="s">
        <v>55</v>
      </c>
      <c r="J12" s="9" t="s">
        <v>27</v>
      </c>
      <c r="K12" s="9" t="s">
        <v>56</v>
      </c>
      <c r="L12" s="10">
        <f>B12*K12</f>
      </c>
    </row>
    <row r="13" spans="1:12" x14ac:dyDescent="0.25">
      <c r="A13" s="8">
        <f>ROW()-6</f>
      </c>
      <c r="B13" s="9">
        <v>2</v>
      </c>
      <c r="C13" s="9" t="s">
        <v>21</v>
      </c>
      <c r="D13" s="9" t="s">
        <v>57</v>
      </c>
      <c r="E13" s="9" t="s">
        <v>23</v>
      </c>
      <c r="F13" s="9" t="s">
        <v>21</v>
      </c>
      <c r="G13" s="9" t="s">
        <v>58</v>
      </c>
      <c r="H13" s="9" t="s">
        <v>59</v>
      </c>
      <c r="I13" s="9" t="s">
        <v>60</v>
      </c>
      <c r="J13" s="9" t="s">
        <v>27</v>
      </c>
      <c r="K13" s="9" t="s">
        <v>61</v>
      </c>
      <c r="L13" s="10">
        <f>B13*K13</f>
      </c>
    </row>
    <row r="14" spans="1:12" x14ac:dyDescent="0.25">
      <c r="A14" s="8">
        <f>ROW()-6</f>
      </c>
      <c r="B14" s="9">
        <v>1</v>
      </c>
      <c r="C14" s="9" t="s">
        <v>62</v>
      </c>
      <c r="D14" s="9" t="s">
        <v>63</v>
      </c>
      <c r="E14" s="9" t="s">
        <v>23</v>
      </c>
      <c r="F14" s="9" t="s">
        <v>62</v>
      </c>
      <c r="G14" s="9" t="s">
        <v>64</v>
      </c>
      <c r="H14" s="9" t="s">
        <v>32</v>
      </c>
      <c r="I14" s="9" t="s">
        <v>65</v>
      </c>
      <c r="J14" s="9" t="s">
        <v>27</v>
      </c>
      <c r="K14" s="9" t="s">
        <v>66</v>
      </c>
      <c r="L14" s="10">
        <f>B14*K14</f>
      </c>
    </row>
    <row r="15" spans="1:12" x14ac:dyDescent="0.25">
      <c r="A15" s="8">
        <f>ROW()-6</f>
      </c>
      <c r="B15" s="9">
        <v>5</v>
      </c>
      <c r="C15" s="9" t="s">
        <v>67</v>
      </c>
      <c r="D15" s="9" t="s">
        <v>68</v>
      </c>
      <c r="E15" s="9" t="s">
        <v>23</v>
      </c>
      <c r="F15" s="9" t="s">
        <v>67</v>
      </c>
      <c r="G15" s="9" t="s">
        <v>69</v>
      </c>
      <c r="H15" s="9" t="s">
        <v>59</v>
      </c>
      <c r="I15" s="9" t="s">
        <v>70</v>
      </c>
      <c r="J15" s="9" t="s">
        <v>27</v>
      </c>
      <c r="K15" s="9" t="s">
        <v>71</v>
      </c>
      <c r="L15" s="10">
        <f>B15*K15</f>
      </c>
    </row>
    <row r="16" spans="1:12" x14ac:dyDescent="0.25">
      <c r="A16" s="8">
        <f>ROW()-6</f>
      </c>
      <c r="B16" s="9">
        <v>2</v>
      </c>
      <c r="C16" s="9" t="s">
        <v>72</v>
      </c>
      <c r="D16" s="9" t="s">
        <v>73</v>
      </c>
      <c r="E16" s="9" t="s">
        <v>23</v>
      </c>
      <c r="F16" s="9" t="s">
        <v>72</v>
      </c>
      <c r="G16" s="9" t="s">
        <v>74</v>
      </c>
      <c r="H16" s="9" t="s">
        <v>32</v>
      </c>
      <c r="I16" s="9" t="s">
        <v>75</v>
      </c>
      <c r="J16" s="9" t="s">
        <v>27</v>
      </c>
      <c r="K16" s="9" t="s">
        <v>76</v>
      </c>
      <c r="L16" s="10">
        <f>B16*K16</f>
      </c>
    </row>
    <row r="17" spans="1:12" x14ac:dyDescent="0.25">
      <c r="A17" s="8">
        <f>ROW()-6</f>
      </c>
      <c r="B17" s="9">
        <v>2</v>
      </c>
      <c r="C17" s="9" t="s">
        <v>77</v>
      </c>
      <c r="D17" s="9" t="s">
        <v>78</v>
      </c>
      <c r="E17" s="9" t="s">
        <v>48</v>
      </c>
      <c r="F17" s="9" t="s">
        <v>77</v>
      </c>
      <c r="G17" s="9" t="s">
        <v>79</v>
      </c>
      <c r="H17" s="9" t="s">
        <v>32</v>
      </c>
      <c r="I17" s="9" t="s">
        <v>80</v>
      </c>
      <c r="J17" s="9" t="s">
        <v>27</v>
      </c>
      <c r="K17" s="9" t="s">
        <v>81</v>
      </c>
      <c r="L17" s="10">
        <f>B17*K17</f>
      </c>
    </row>
    <row r="18" spans="1:12" x14ac:dyDescent="0.25">
      <c r="A18" s="8">
        <f>ROW()-6</f>
      </c>
      <c r="B18" s="9">
        <v>2</v>
      </c>
      <c r="C18" s="9" t="s">
        <v>46</v>
      </c>
      <c r="D18" s="9" t="s">
        <v>82</v>
      </c>
      <c r="E18" s="9" t="s">
        <v>23</v>
      </c>
      <c r="F18" s="9" t="s">
        <v>46</v>
      </c>
      <c r="G18" s="9" t="s">
        <v>83</v>
      </c>
      <c r="H18" s="9" t="s">
        <v>32</v>
      </c>
      <c r="I18" s="9" t="s">
        <v>84</v>
      </c>
      <c r="J18" s="9" t="s">
        <v>27</v>
      </c>
      <c r="K18" s="9" t="s">
        <v>85</v>
      </c>
      <c r="L18" s="10">
        <f>B18*K18</f>
      </c>
    </row>
    <row r="19" spans="1:12" x14ac:dyDescent="0.25">
      <c r="A19" s="8">
        <f>ROW()-6</f>
      </c>
      <c r="B19" s="9">
        <v>1</v>
      </c>
      <c r="C19" s="9" t="s">
        <v>40</v>
      </c>
      <c r="D19" s="9" t="s">
        <v>86</v>
      </c>
      <c r="E19" s="9" t="s">
        <v>23</v>
      </c>
      <c r="F19" s="9" t="s">
        <v>40</v>
      </c>
      <c r="G19" s="9" t="s">
        <v>87</v>
      </c>
      <c r="H19" s="9" t="s">
        <v>59</v>
      </c>
      <c r="I19" s="9" t="s">
        <v>88</v>
      </c>
      <c r="J19" s="9" t="s">
        <v>27</v>
      </c>
      <c r="K19" s="9" t="s">
        <v>89</v>
      </c>
      <c r="L19" s="10">
        <f>B19*K19</f>
      </c>
    </row>
    <row r="20" spans="1:12" x14ac:dyDescent="0.25">
      <c r="A20" s="8">
        <f>ROW()-6</f>
      </c>
      <c r="B20" s="9">
        <v>7</v>
      </c>
      <c r="C20" s="9" t="s">
        <v>90</v>
      </c>
      <c r="D20" s="9" t="s">
        <v>91</v>
      </c>
      <c r="E20" s="9" t="s">
        <v>92</v>
      </c>
      <c r="F20" s="9" t="s">
        <v>0</v>
      </c>
      <c r="G20" s="9" t="s">
        <v>90</v>
      </c>
      <c r="H20" s="9" t="s">
        <v>93</v>
      </c>
      <c r="I20" s="9" t="s">
        <v>94</v>
      </c>
      <c r="J20" s="9" t="s">
        <v>27</v>
      </c>
      <c r="K20" s="9" t="s">
        <v>95</v>
      </c>
      <c r="L20" s="10">
        <f>B20*K20</f>
      </c>
    </row>
    <row r="21" spans="1:12" x14ac:dyDescent="0.25">
      <c r="A21" s="8">
        <f>ROW()-6</f>
      </c>
      <c r="B21" s="9">
        <v>1</v>
      </c>
      <c r="C21" s="9" t="s">
        <v>96</v>
      </c>
      <c r="D21" s="9" t="s">
        <v>97</v>
      </c>
      <c r="E21" s="9" t="s">
        <v>98</v>
      </c>
      <c r="F21" s="9" t="s">
        <v>0</v>
      </c>
      <c r="G21" s="9" t="s">
        <v>96</v>
      </c>
      <c r="H21" s="9" t="s">
        <v>99</v>
      </c>
      <c r="I21" s="9" t="s">
        <v>100</v>
      </c>
      <c r="J21" s="9" t="s">
        <v>27</v>
      </c>
      <c r="K21" s="9" t="s">
        <v>101</v>
      </c>
      <c r="L21" s="10">
        <f>B21*K21</f>
      </c>
    </row>
    <row r="22" spans="1:12" x14ac:dyDescent="0.25">
      <c r="A22" s="8">
        <f>ROW()-6</f>
      </c>
      <c r="B22" s="9">
        <v>2</v>
      </c>
      <c r="C22" s="9" t="s">
        <v>102</v>
      </c>
      <c r="D22" s="9" t="s">
        <v>103</v>
      </c>
      <c r="E22" s="9" t="s">
        <v>104</v>
      </c>
      <c r="F22" s="9" t="s">
        <v>0</v>
      </c>
      <c r="G22" s="9" t="s">
        <v>102</v>
      </c>
      <c r="H22" s="9" t="s">
        <v>105</v>
      </c>
      <c r="I22" s="9" t="s">
        <v>106</v>
      </c>
      <c r="J22" s="9" t="s">
        <v>27</v>
      </c>
      <c r="K22" s="9" t="s">
        <v>107</v>
      </c>
      <c r="L22" s="10">
        <f>B22*K22</f>
      </c>
    </row>
    <row r="23" spans="1:12" x14ac:dyDescent="0.25">
      <c r="A23" s="8">
        <f>ROW()-6</f>
      </c>
      <c r="B23" s="9">
        <v>1</v>
      </c>
      <c r="C23" s="9" t="s">
        <v>108</v>
      </c>
      <c r="D23" s="9" t="s">
        <v>109</v>
      </c>
      <c r="E23" s="9" t="s">
        <v>110</v>
      </c>
      <c r="F23" s="9" t="s">
        <v>0</v>
      </c>
      <c r="G23" s="9" t="s">
        <v>108</v>
      </c>
      <c r="H23" s="9" t="s">
        <v>111</v>
      </c>
      <c r="I23" s="9" t="s">
        <v>112</v>
      </c>
      <c r="J23" s="9" t="s">
        <v>27</v>
      </c>
      <c r="K23" s="9" t="s">
        <v>113</v>
      </c>
      <c r="L23" s="10">
        <f>B23*K23</f>
      </c>
    </row>
    <row r="24" spans="1:12" x14ac:dyDescent="0.25">
      <c r="A24" s="8">
        <f>ROW()-6</f>
      </c>
      <c r="B24" s="9">
        <v>1</v>
      </c>
      <c r="C24" s="9" t="s">
        <v>114</v>
      </c>
      <c r="D24" s="9" t="s">
        <v>115</v>
      </c>
      <c r="E24" s="9" t="s">
        <v>116</v>
      </c>
      <c r="F24" s="9" t="s">
        <v>0</v>
      </c>
      <c r="G24" s="9" t="s">
        <v>114</v>
      </c>
      <c r="H24" s="9" t="s">
        <v>99</v>
      </c>
      <c r="I24" s="9" t="s">
        <v>117</v>
      </c>
      <c r="J24" s="9" t="s">
        <v>27</v>
      </c>
      <c r="K24" s="9" t="s">
        <v>118</v>
      </c>
      <c r="L24" s="10">
        <f>B24*K24</f>
      </c>
    </row>
    <row r="25" spans="1:12" x14ac:dyDescent="0.25">
      <c r="A25" s="8">
        <f>ROW()-6</f>
      </c>
      <c r="B25" s="9">
        <v>2</v>
      </c>
      <c r="C25" s="9" t="s">
        <v>119</v>
      </c>
      <c r="D25" s="9" t="s">
        <v>120</v>
      </c>
      <c r="E25" s="9" t="s">
        <v>121</v>
      </c>
      <c r="F25" s="9" t="s">
        <v>0</v>
      </c>
      <c r="G25" s="9" t="s">
        <v>119</v>
      </c>
      <c r="H25" s="9" t="s">
        <v>122</v>
      </c>
      <c r="I25" s="9" t="s">
        <v>123</v>
      </c>
      <c r="J25" s="9" t="s">
        <v>27</v>
      </c>
      <c r="K25" s="9" t="s">
        <v>124</v>
      </c>
      <c r="L25" s="10">
        <f>B25*K25</f>
      </c>
    </row>
    <row r="26" spans="1:12" x14ac:dyDescent="0.25">
      <c r="A26" s="8">
        <f>ROW()-6</f>
      </c>
      <c r="B26" s="9">
        <v>1</v>
      </c>
      <c r="C26" s="9" t="s">
        <v>125</v>
      </c>
      <c r="D26" s="9" t="s">
        <v>126</v>
      </c>
      <c r="E26" s="9" t="s">
        <v>127</v>
      </c>
      <c r="F26" s="9" t="s">
        <v>125</v>
      </c>
      <c r="G26" s="9" t="s">
        <v>128</v>
      </c>
      <c r="H26" s="9" t="s">
        <v>129</v>
      </c>
      <c r="I26" s="9" t="s">
        <v>130</v>
      </c>
      <c r="J26" s="9" t="s">
        <v>27</v>
      </c>
      <c r="K26" s="9" t="s">
        <v>131</v>
      </c>
      <c r="L26" s="10">
        <f>B26*K26</f>
      </c>
    </row>
    <row r="27" spans="1:12" x14ac:dyDescent="0.25">
      <c r="A27" s="8">
        <f>ROW()-6</f>
      </c>
      <c r="B27" s="9">
        <v>4</v>
      </c>
      <c r="C27" s="9" t="s">
        <v>132</v>
      </c>
      <c r="D27" s="9" t="s">
        <v>133</v>
      </c>
      <c r="E27" s="9" t="s">
        <v>134</v>
      </c>
      <c r="F27" s="9" t="s">
        <v>0</v>
      </c>
      <c r="G27" s="9" t="s">
        <v>132</v>
      </c>
      <c r="H27" s="9" t="s">
        <v>135</v>
      </c>
      <c r="I27" s="9" t="s">
        <v>136</v>
      </c>
      <c r="J27" s="9" t="s">
        <v>27</v>
      </c>
      <c r="K27" s="9" t="s">
        <v>137</v>
      </c>
      <c r="L27" s="10">
        <f>B27*K27</f>
      </c>
    </row>
    <row r="28" spans="1:12" x14ac:dyDescent="0.25">
      <c r="A28" s="8">
        <f>ROW()-6</f>
      </c>
      <c r="B28" s="9">
        <v>2</v>
      </c>
      <c r="C28" s="9" t="s">
        <v>138</v>
      </c>
      <c r="D28" s="9" t="s">
        <v>139</v>
      </c>
      <c r="E28" s="9" t="s">
        <v>140</v>
      </c>
      <c r="F28" s="9" t="s">
        <v>0</v>
      </c>
      <c r="G28" s="9" t="s">
        <v>138</v>
      </c>
      <c r="H28" s="9" t="s">
        <v>141</v>
      </c>
      <c r="I28" s="9" t="s">
        <v>142</v>
      </c>
      <c r="J28" s="9" t="s">
        <v>27</v>
      </c>
      <c r="K28" s="9" t="s">
        <v>143</v>
      </c>
      <c r="L28" s="10">
        <f>B28*K28</f>
      </c>
    </row>
    <row r="29" spans="1:12" x14ac:dyDescent="0.25">
      <c r="A29" s="8">
        <f>ROW()-6</f>
      </c>
      <c r="B29" s="9">
        <v>1</v>
      </c>
      <c r="C29" s="9" t="s">
        <v>144</v>
      </c>
      <c r="D29" s="9" t="s">
        <v>145</v>
      </c>
      <c r="E29" s="9" t="s">
        <v>134</v>
      </c>
      <c r="F29" s="9" t="s">
        <v>0</v>
      </c>
      <c r="G29" s="9" t="s">
        <v>144</v>
      </c>
      <c r="H29" s="9" t="s">
        <v>146</v>
      </c>
      <c r="I29" s="9" t="s">
        <v>147</v>
      </c>
      <c r="J29" s="9" t="s">
        <v>27</v>
      </c>
      <c r="K29" s="9" t="s">
        <v>148</v>
      </c>
      <c r="L29" s="10">
        <f>B29*K29</f>
      </c>
    </row>
    <row r="30" spans="1:12" x14ac:dyDescent="0.25">
      <c r="A30" s="8">
        <f>ROW()-6</f>
      </c>
      <c r="B30" s="9">
        <v>1</v>
      </c>
      <c r="C30" s="9" t="s">
        <v>149</v>
      </c>
      <c r="D30" s="9" t="s">
        <v>150</v>
      </c>
      <c r="E30" s="9" t="s">
        <v>151</v>
      </c>
      <c r="F30" s="9" t="s">
        <v>0</v>
      </c>
      <c r="G30" s="9" t="s">
        <v>149</v>
      </c>
      <c r="H30" s="9" t="s">
        <v>152</v>
      </c>
      <c r="I30" s="9" t="s">
        <v>153</v>
      </c>
      <c r="J30" s="9" t="s">
        <v>27</v>
      </c>
      <c r="K30" s="9" t="s">
        <v>154</v>
      </c>
      <c r="L30" s="10">
        <f>B30*K30</f>
      </c>
    </row>
    <row r="31" spans="1:12" x14ac:dyDescent="0.25">
      <c r="A31" s="8">
        <f>ROW()-6</f>
      </c>
      <c r="B31" s="9">
        <v>1</v>
      </c>
      <c r="C31" s="9" t="s">
        <v>155</v>
      </c>
      <c r="D31" s="9" t="s">
        <v>156</v>
      </c>
      <c r="E31" s="9" t="s">
        <v>157</v>
      </c>
      <c r="F31" s="9" t="s">
        <v>0</v>
      </c>
      <c r="G31" s="9" t="s">
        <v>155</v>
      </c>
      <c r="H31" s="9" t="s">
        <v>158</v>
      </c>
      <c r="I31" s="9" t="s">
        <v>159</v>
      </c>
      <c r="J31" s="9" t="s">
        <v>27</v>
      </c>
      <c r="K31" s="9" t="s">
        <v>160</v>
      </c>
      <c r="L31" s="10">
        <f>B31*K31</f>
      </c>
    </row>
    <row r="32" spans="1:12" x14ac:dyDescent="0.25">
      <c r="A32" s="8">
        <f>ROW()-6</f>
      </c>
      <c r="B32" s="9">
        <v>6</v>
      </c>
      <c r="C32" s="9" t="s">
        <v>161</v>
      </c>
      <c r="D32" s="9" t="s">
        <v>162</v>
      </c>
      <c r="E32" s="9" t="s">
        <v>163</v>
      </c>
      <c r="F32" s="9" t="s">
        <v>0</v>
      </c>
      <c r="G32" s="9" t="s">
        <v>161</v>
      </c>
      <c r="H32" s="9" t="s">
        <v>164</v>
      </c>
      <c r="I32" s="9" t="s">
        <v>165</v>
      </c>
      <c r="J32" s="9" t="s">
        <v>27</v>
      </c>
      <c r="K32" s="9" t="s">
        <v>166</v>
      </c>
      <c r="L32" s="10">
        <f>B32*K32</f>
      </c>
    </row>
    <row r="33" spans="1:12" x14ac:dyDescent="0.25">
      <c r="A33" s="8">
        <f>ROW()-6</f>
      </c>
      <c r="B33" s="9">
        <v>1</v>
      </c>
      <c r="C33" s="9" t="s">
        <v>167</v>
      </c>
      <c r="D33" s="9" t="s">
        <v>168</v>
      </c>
      <c r="E33" s="9" t="s">
        <v>169</v>
      </c>
      <c r="F33" s="9" t="s">
        <v>0</v>
      </c>
      <c r="G33" s="9" t="s">
        <v>167</v>
      </c>
      <c r="H33" s="9" t="s">
        <v>170</v>
      </c>
      <c r="I33" s="9" t="s">
        <v>171</v>
      </c>
      <c r="J33" s="9" t="s">
        <v>27</v>
      </c>
      <c r="K33" s="9" t="s">
        <v>172</v>
      </c>
      <c r="L33" s="10">
        <f>B33*K33</f>
      </c>
    </row>
    <row r="34" spans="1:12" x14ac:dyDescent="0.25">
      <c r="A34" s="8">
        <f>ROW()-6</f>
      </c>
      <c r="B34" s="9">
        <v>1</v>
      </c>
      <c r="C34" s="9" t="s">
        <v>173</v>
      </c>
      <c r="D34" s="9" t="s">
        <v>174</v>
      </c>
      <c r="E34" s="9" t="s">
        <v>175</v>
      </c>
      <c r="F34" s="9" t="s">
        <v>0</v>
      </c>
      <c r="G34" s="9" t="s">
        <v>173</v>
      </c>
      <c r="H34" s="9" t="s">
        <v>176</v>
      </c>
      <c r="I34" s="9" t="s">
        <v>177</v>
      </c>
      <c r="J34" s="9" t="s">
        <v>27</v>
      </c>
      <c r="K34" s="9" t="s">
        <v>178</v>
      </c>
      <c r="L34" s="10">
        <f>B34*K34</f>
      </c>
    </row>
    <row r="35" spans="1:12" x14ac:dyDescent="0.25">
      <c r="A35" s="8">
        <f>ROW()-6</f>
      </c>
      <c r="B35" s="9">
        <v>12</v>
      </c>
      <c r="C35" s="9" t="s">
        <v>179</v>
      </c>
      <c r="D35" s="9" t="s">
        <v>180</v>
      </c>
      <c r="E35" s="9" t="s">
        <v>157</v>
      </c>
      <c r="F35" s="9" t="s">
        <v>179</v>
      </c>
      <c r="G35" s="9" t="s">
        <v>181</v>
      </c>
      <c r="H35" s="9" t="s">
        <v>182</v>
      </c>
      <c r="I35" s="9" t="s">
        <v>183</v>
      </c>
      <c r="J35" s="9" t="s">
        <v>27</v>
      </c>
      <c r="K35" s="9" t="s">
        <v>184</v>
      </c>
      <c r="L35" s="10">
        <f>B35*K35</f>
      </c>
    </row>
    <row r="36" spans="1:12" x14ac:dyDescent="0.25">
      <c r="A36" s="8">
        <f>ROW()-6</f>
      </c>
      <c r="B36" s="9">
        <v>8</v>
      </c>
      <c r="C36" s="9" t="s">
        <v>185</v>
      </c>
      <c r="D36" s="9" t="s">
        <v>186</v>
      </c>
      <c r="E36" s="9" t="s">
        <v>157</v>
      </c>
      <c r="F36" s="9" t="s">
        <v>185</v>
      </c>
      <c r="G36" s="9" t="s">
        <v>187</v>
      </c>
      <c r="H36" s="9" t="s">
        <v>182</v>
      </c>
      <c r="I36" s="9" t="s">
        <v>188</v>
      </c>
      <c r="J36" s="9" t="s">
        <v>27</v>
      </c>
      <c r="K36" s="9" t="s">
        <v>189</v>
      </c>
      <c r="L36" s="10">
        <f>B36*K36</f>
      </c>
    </row>
    <row r="37" spans="1:12" x14ac:dyDescent="0.25">
      <c r="A37" s="8">
        <f>ROW()-6</f>
      </c>
      <c r="B37" s="9">
        <v>1</v>
      </c>
      <c r="C37" s="9" t="s">
        <v>190</v>
      </c>
      <c r="D37" s="9" t="s">
        <v>191</v>
      </c>
      <c r="E37" s="9" t="s">
        <v>157</v>
      </c>
      <c r="F37" s="9" t="s">
        <v>190</v>
      </c>
      <c r="G37" s="9" t="s">
        <v>192</v>
      </c>
      <c r="H37" s="9" t="s">
        <v>182</v>
      </c>
      <c r="I37" s="9" t="s">
        <v>193</v>
      </c>
      <c r="J37" s="9" t="s">
        <v>27</v>
      </c>
      <c r="K37" s="9" t="s">
        <v>194</v>
      </c>
      <c r="L37" s="10">
        <f>B37*K37</f>
      </c>
    </row>
    <row r="38" spans="1:12" x14ac:dyDescent="0.25">
      <c r="A38" s="8">
        <f>ROW()-6</f>
      </c>
      <c r="B38" s="9">
        <v>4</v>
      </c>
      <c r="C38" s="9" t="s">
        <v>195</v>
      </c>
      <c r="D38" s="9" t="s">
        <v>196</v>
      </c>
      <c r="E38" s="9" t="s">
        <v>157</v>
      </c>
      <c r="F38" s="9" t="s">
        <v>195</v>
      </c>
      <c r="G38" s="9" t="s">
        <v>197</v>
      </c>
      <c r="H38" s="9" t="s">
        <v>43</v>
      </c>
      <c r="I38" s="9" t="s">
        <v>198</v>
      </c>
      <c r="J38" s="9" t="s">
        <v>27</v>
      </c>
      <c r="K38" s="9" t="s">
        <v>199</v>
      </c>
      <c r="L38" s="10">
        <f>B38*K38</f>
      </c>
    </row>
    <row r="39" spans="1:12" x14ac:dyDescent="0.25">
      <c r="A39" s="8">
        <f>ROW()-6</f>
      </c>
      <c r="B39" s="9">
        <v>3</v>
      </c>
      <c r="C39" s="9" t="s">
        <v>200</v>
      </c>
      <c r="D39" s="9" t="s">
        <v>201</v>
      </c>
      <c r="E39" s="9" t="s">
        <v>202</v>
      </c>
      <c r="F39" s="9" t="s">
        <v>200</v>
      </c>
      <c r="G39" s="9" t="s">
        <v>203</v>
      </c>
      <c r="H39" s="9" t="s">
        <v>204</v>
      </c>
      <c r="I39" s="9" t="s">
        <v>205</v>
      </c>
      <c r="J39" s="9" t="s">
        <v>27</v>
      </c>
      <c r="K39" s="9" t="s">
        <v>206</v>
      </c>
      <c r="L39" s="10">
        <f>B39*K39</f>
      </c>
    </row>
    <row r="40" spans="1:12" x14ac:dyDescent="0.25">
      <c r="A40" s="8">
        <f>ROW()-6</f>
      </c>
      <c r="B40" s="9">
        <v>1</v>
      </c>
      <c r="C40" s="9" t="s">
        <v>207</v>
      </c>
      <c r="D40" s="9" t="s">
        <v>208</v>
      </c>
      <c r="E40" s="9" t="s">
        <v>157</v>
      </c>
      <c r="F40" s="9" t="s">
        <v>207</v>
      </c>
      <c r="G40" s="9" t="s">
        <v>209</v>
      </c>
      <c r="H40" s="9" t="s">
        <v>182</v>
      </c>
      <c r="I40" s="9" t="s">
        <v>210</v>
      </c>
      <c r="J40" s="9" t="s">
        <v>27</v>
      </c>
      <c r="K40" s="9" t="s">
        <v>211</v>
      </c>
      <c r="L40" s="10">
        <f>B40*K40</f>
      </c>
    </row>
    <row r="41" spans="1:12" x14ac:dyDescent="0.25">
      <c r="A41" s="8">
        <f>ROW()-6</f>
      </c>
      <c r="B41" s="9">
        <v>2</v>
      </c>
      <c r="C41" s="9" t="s">
        <v>212</v>
      </c>
      <c r="D41" s="9" t="s">
        <v>213</v>
      </c>
      <c r="E41" s="9" t="s">
        <v>157</v>
      </c>
      <c r="F41" s="9" t="s">
        <v>212</v>
      </c>
      <c r="G41" s="9" t="s">
        <v>214</v>
      </c>
      <c r="H41" s="9" t="s">
        <v>182</v>
      </c>
      <c r="I41" s="9" t="s">
        <v>215</v>
      </c>
      <c r="J41" s="9" t="s">
        <v>27</v>
      </c>
      <c r="K41" s="9" t="s">
        <v>216</v>
      </c>
      <c r="L41" s="10">
        <f>B41*K41</f>
      </c>
    </row>
    <row r="42" spans="1:12" x14ac:dyDescent="0.25">
      <c r="A42" s="8">
        <f>ROW()-6</f>
      </c>
      <c r="B42" s="9">
        <v>5</v>
      </c>
      <c r="C42" s="9" t="s">
        <v>217</v>
      </c>
      <c r="D42" s="9" t="s">
        <v>218</v>
      </c>
      <c r="E42" s="9" t="s">
        <v>157</v>
      </c>
      <c r="F42" s="9" t="s">
        <v>217</v>
      </c>
      <c r="G42" s="9" t="s">
        <v>219</v>
      </c>
      <c r="H42" s="9" t="s">
        <v>182</v>
      </c>
      <c r="I42" s="9" t="s">
        <v>220</v>
      </c>
      <c r="J42" s="9" t="s">
        <v>27</v>
      </c>
      <c r="K42" s="9" t="s">
        <v>184</v>
      </c>
      <c r="L42" s="10">
        <f>B42*K42</f>
      </c>
    </row>
    <row r="43" spans="1:12" x14ac:dyDescent="0.25">
      <c r="A43" s="8">
        <f>ROW()-6</f>
      </c>
      <c r="B43" s="9">
        <v>9</v>
      </c>
      <c r="C43" s="9" t="s">
        <v>221</v>
      </c>
      <c r="D43" s="9" t="s">
        <v>222</v>
      </c>
      <c r="E43" s="9" t="s">
        <v>157</v>
      </c>
      <c r="F43" s="9" t="s">
        <v>221</v>
      </c>
      <c r="G43" s="9" t="s">
        <v>223</v>
      </c>
      <c r="H43" s="9" t="s">
        <v>182</v>
      </c>
      <c r="I43" s="9" t="s">
        <v>224</v>
      </c>
      <c r="J43" s="9" t="s">
        <v>27</v>
      </c>
      <c r="K43" s="9" t="s">
        <v>225</v>
      </c>
      <c r="L43" s="10">
        <f>B43*K43</f>
      </c>
    </row>
    <row r="44" spans="1:12" x14ac:dyDescent="0.25">
      <c r="A44" s="8">
        <f>ROW()-6</f>
      </c>
      <c r="B44" s="9">
        <v>1</v>
      </c>
      <c r="C44" s="9" t="s">
        <v>226</v>
      </c>
      <c r="D44" s="9" t="s">
        <v>227</v>
      </c>
      <c r="E44" s="9" t="s">
        <v>157</v>
      </c>
      <c r="F44" s="9" t="s">
        <v>226</v>
      </c>
      <c r="G44" s="9" t="s">
        <v>228</v>
      </c>
      <c r="H44" s="9" t="s">
        <v>182</v>
      </c>
      <c r="I44" s="9" t="s">
        <v>229</v>
      </c>
      <c r="J44" s="9" t="s">
        <v>27</v>
      </c>
      <c r="K44" s="9" t="s">
        <v>230</v>
      </c>
      <c r="L44" s="10">
        <f>B44*K44</f>
      </c>
    </row>
    <row r="45" spans="1:12" x14ac:dyDescent="0.25">
      <c r="A45" s="8">
        <f>ROW()-6</f>
      </c>
      <c r="B45" s="9">
        <v>2</v>
      </c>
      <c r="C45" s="9" t="s">
        <v>231</v>
      </c>
      <c r="D45" s="9" t="s">
        <v>232</v>
      </c>
      <c r="E45" s="9" t="s">
        <v>157</v>
      </c>
      <c r="F45" s="9" t="s">
        <v>231</v>
      </c>
      <c r="G45" s="9" t="s">
        <v>233</v>
      </c>
      <c r="H45" s="9" t="s">
        <v>182</v>
      </c>
      <c r="I45" s="9" t="s">
        <v>234</v>
      </c>
      <c r="J45" s="9" t="s">
        <v>27</v>
      </c>
      <c r="K45" s="9" t="s">
        <v>211</v>
      </c>
      <c r="L45" s="10">
        <f>B45*K45</f>
      </c>
    </row>
    <row r="46" spans="1:12" x14ac:dyDescent="0.25">
      <c r="A46" s="8">
        <f>ROW()-6</f>
      </c>
      <c r="B46" s="9">
        <v>2</v>
      </c>
      <c r="C46" s="9" t="s">
        <v>235</v>
      </c>
      <c r="D46" s="9" t="s">
        <v>236</v>
      </c>
      <c r="E46" s="9" t="s">
        <v>157</v>
      </c>
      <c r="F46" s="9" t="s">
        <v>235</v>
      </c>
      <c r="G46" s="9" t="s">
        <v>237</v>
      </c>
      <c r="H46" s="9" t="s">
        <v>182</v>
      </c>
      <c r="I46" s="9" t="s">
        <v>238</v>
      </c>
      <c r="J46" s="9" t="s">
        <v>27</v>
      </c>
      <c r="K46" s="9" t="s">
        <v>189</v>
      </c>
      <c r="L46" s="10">
        <f>B46*K46</f>
      </c>
    </row>
    <row r="47" spans="1:12" x14ac:dyDescent="0.25">
      <c r="A47" s="8">
        <f>ROW()-6</f>
      </c>
      <c r="B47" s="9">
        <v>6</v>
      </c>
      <c r="C47" s="9" t="s">
        <v>239</v>
      </c>
      <c r="D47" s="9" t="s">
        <v>240</v>
      </c>
      <c r="E47" s="9" t="s">
        <v>157</v>
      </c>
      <c r="F47" s="9" t="s">
        <v>239</v>
      </c>
      <c r="G47" s="9" t="s">
        <v>241</v>
      </c>
      <c r="H47" s="9" t="s">
        <v>43</v>
      </c>
      <c r="I47" s="9" t="s">
        <v>242</v>
      </c>
      <c r="J47" s="9" t="s">
        <v>27</v>
      </c>
      <c r="K47" s="9" t="s">
        <v>243</v>
      </c>
      <c r="L47" s="10">
        <f>B47*K47</f>
      </c>
    </row>
    <row r="48" spans="1:12" x14ac:dyDescent="0.25">
      <c r="A48" s="8">
        <f>ROW()-6</f>
      </c>
      <c r="B48" s="9">
        <v>6</v>
      </c>
      <c r="C48" s="9" t="s">
        <v>207</v>
      </c>
      <c r="D48" s="9" t="s">
        <v>244</v>
      </c>
      <c r="E48" s="9" t="s">
        <v>157</v>
      </c>
      <c r="F48" s="9" t="s">
        <v>207</v>
      </c>
      <c r="G48" s="9" t="s">
        <v>245</v>
      </c>
      <c r="H48" s="9" t="s">
        <v>43</v>
      </c>
      <c r="I48" s="9" t="s">
        <v>246</v>
      </c>
      <c r="J48" s="9" t="s">
        <v>27</v>
      </c>
      <c r="K48" s="9" t="s">
        <v>247</v>
      </c>
      <c r="L48" s="10">
        <f>B48*K48</f>
      </c>
    </row>
    <row r="49" spans="1:12" x14ac:dyDescent="0.25">
      <c r="A49" s="8">
        <f>ROW()-6</f>
      </c>
      <c r="B49" s="9">
        <v>1</v>
      </c>
      <c r="C49" s="9" t="s">
        <v>239</v>
      </c>
      <c r="D49" s="9" t="s">
        <v>248</v>
      </c>
      <c r="E49" s="9" t="s">
        <v>157</v>
      </c>
      <c r="F49" s="9" t="s">
        <v>239</v>
      </c>
      <c r="G49" s="9" t="s">
        <v>249</v>
      </c>
      <c r="H49" s="9" t="s">
        <v>182</v>
      </c>
      <c r="I49" s="9" t="s">
        <v>250</v>
      </c>
      <c r="J49" s="9" t="s">
        <v>27</v>
      </c>
      <c r="K49" s="9" t="s">
        <v>211</v>
      </c>
      <c r="L49" s="10">
        <f>B49*K49</f>
      </c>
    </row>
    <row r="50" spans="1:12" x14ac:dyDescent="0.25">
      <c r="A50" s="8">
        <f>ROW()-6</f>
      </c>
      <c r="B50" s="9">
        <v>1</v>
      </c>
      <c r="C50" s="9" t="s">
        <v>251</v>
      </c>
      <c r="D50" s="9" t="s">
        <v>252</v>
      </c>
      <c r="E50" s="9" t="s">
        <v>157</v>
      </c>
      <c r="F50" s="9" t="s">
        <v>251</v>
      </c>
      <c r="G50" s="9" t="s">
        <v>253</v>
      </c>
      <c r="H50" s="9" t="s">
        <v>182</v>
      </c>
      <c r="I50" s="9" t="s">
        <v>254</v>
      </c>
      <c r="J50" s="9" t="s">
        <v>27</v>
      </c>
      <c r="K50" s="9" t="s">
        <v>194</v>
      </c>
      <c r="L50" s="10">
        <f>B50*K50</f>
      </c>
    </row>
    <row r="51" spans="1:12" x14ac:dyDescent="0.25">
      <c r="A51" s="8">
        <f>ROW()-6</f>
      </c>
      <c r="B51" s="9">
        <v>1</v>
      </c>
      <c r="C51" s="9" t="s">
        <v>255</v>
      </c>
      <c r="D51" s="9" t="s">
        <v>256</v>
      </c>
      <c r="E51" s="9" t="s">
        <v>157</v>
      </c>
      <c r="F51" s="9" t="s">
        <v>255</v>
      </c>
      <c r="G51" s="9" t="s">
        <v>257</v>
      </c>
      <c r="H51" s="9" t="s">
        <v>182</v>
      </c>
      <c r="I51" s="9" t="s">
        <v>258</v>
      </c>
      <c r="J51" s="9" t="s">
        <v>27</v>
      </c>
      <c r="K51" s="9" t="s">
        <v>259</v>
      </c>
      <c r="L51" s="10">
        <f>B51*K51</f>
      </c>
    </row>
    <row r="52" spans="1:12" x14ac:dyDescent="0.25">
      <c r="A52" s="8">
        <f>ROW()-6</f>
      </c>
      <c r="B52" s="9">
        <v>1</v>
      </c>
      <c r="C52" s="9" t="s">
        <v>260</v>
      </c>
      <c r="D52" s="9" t="s">
        <v>261</v>
      </c>
      <c r="E52" s="9" t="s">
        <v>262</v>
      </c>
      <c r="F52" s="9" t="s">
        <v>0</v>
      </c>
      <c r="G52" s="9" t="s">
        <v>260</v>
      </c>
      <c r="H52" s="9" t="s">
        <v>263</v>
      </c>
      <c r="I52" s="9" t="s">
        <v>264</v>
      </c>
      <c r="J52" s="9" t="s">
        <v>27</v>
      </c>
      <c r="K52" s="9" t="s">
        <v>265</v>
      </c>
      <c r="L52" s="10">
        <f>B52*K52</f>
      </c>
    </row>
    <row r="53" spans="1:12" x14ac:dyDescent="0.25">
      <c r="A53" s="8">
        <f>ROW()-6</f>
      </c>
      <c r="B53" s="9">
        <v>1</v>
      </c>
      <c r="C53" s="9" t="s">
        <v>266</v>
      </c>
      <c r="D53" s="9" t="s">
        <v>267</v>
      </c>
      <c r="E53" s="9" t="s">
        <v>268</v>
      </c>
      <c r="F53" s="9" t="s">
        <v>0</v>
      </c>
      <c r="G53" s="9" t="s">
        <v>266</v>
      </c>
      <c r="H53" s="9" t="s">
        <v>269</v>
      </c>
      <c r="I53" s="9" t="s">
        <v>270</v>
      </c>
      <c r="J53" s="9" t="s">
        <v>27</v>
      </c>
      <c r="K53" s="9" t="s">
        <v>0</v>
      </c>
      <c r="L53" s="10">
        <f>B53*K53</f>
      </c>
    </row>
    <row r="54" spans="1:12" x14ac:dyDescent="0.25">
      <c r="A54" s="8">
        <f>ROW()-6</f>
      </c>
      <c r="B54" s="9">
        <v>1</v>
      </c>
      <c r="C54" s="9" t="s">
        <v>271</v>
      </c>
      <c r="D54" s="9" t="s">
        <v>272</v>
      </c>
      <c r="E54" s="9" t="s">
        <v>273</v>
      </c>
      <c r="F54" s="9" t="s">
        <v>0</v>
      </c>
      <c r="G54" s="9" t="s">
        <v>271</v>
      </c>
      <c r="H54" s="9" t="s">
        <v>274</v>
      </c>
      <c r="I54" s="9" t="s">
        <v>275</v>
      </c>
      <c r="J54" s="9" t="s">
        <v>27</v>
      </c>
      <c r="K54" s="9" t="s">
        <v>276</v>
      </c>
      <c r="L54" s="10">
        <f>B54*K54</f>
      </c>
    </row>
    <row r="55" spans="1:12" x14ac:dyDescent="0.25">
      <c r="A55" s="8">
        <f>ROW()-6</f>
      </c>
      <c r="B55" s="9">
        <v>1</v>
      </c>
      <c r="C55" s="9" t="s">
        <v>277</v>
      </c>
      <c r="D55" s="9" t="s">
        <v>278</v>
      </c>
      <c r="E55" s="9" t="s">
        <v>279</v>
      </c>
      <c r="F55" s="9" t="s">
        <v>0</v>
      </c>
      <c r="G55" s="9" t="s">
        <v>277</v>
      </c>
      <c r="H55" s="9" t="s">
        <v>280</v>
      </c>
      <c r="I55" s="9" t="s">
        <v>281</v>
      </c>
      <c r="J55" s="9" t="s">
        <v>27</v>
      </c>
      <c r="K55" s="9" t="s">
        <v>282</v>
      </c>
      <c r="L55" s="10">
        <f>B55*K55</f>
      </c>
    </row>
    <row r="56" spans="1:12" x14ac:dyDescent="0.25">
      <c r="A56" s="8">
        <f>ROW()-6</f>
      </c>
      <c r="B56" s="9">
        <v>1</v>
      </c>
      <c r="C56" s="9" t="s">
        <v>283</v>
      </c>
      <c r="D56" s="9" t="s">
        <v>284</v>
      </c>
      <c r="E56" s="9" t="s">
        <v>169</v>
      </c>
      <c r="F56" s="9" t="s">
        <v>0</v>
      </c>
      <c r="G56" s="9" t="s">
        <v>283</v>
      </c>
      <c r="H56" s="9" t="s">
        <v>280</v>
      </c>
      <c r="I56" s="9" t="s">
        <v>285</v>
      </c>
      <c r="J56" s="9" t="s">
        <v>27</v>
      </c>
      <c r="K56" s="9" t="s">
        <v>286</v>
      </c>
      <c r="L56" s="10">
        <f>B56*K56</f>
      </c>
    </row>
    <row r="57" spans="1:12" x14ac:dyDescent="0.25">
      <c r="A57" s="8">
        <f>ROW()-6</f>
      </c>
      <c r="B57" s="9">
        <v>1</v>
      </c>
      <c r="C57" s="9" t="s">
        <v>287</v>
      </c>
      <c r="D57" s="9" t="s">
        <v>288</v>
      </c>
      <c r="E57" s="9" t="s">
        <v>289</v>
      </c>
      <c r="F57" s="9" t="s">
        <v>0</v>
      </c>
      <c r="G57" s="9" t="s">
        <v>287</v>
      </c>
      <c r="H57" s="9" t="s">
        <v>290</v>
      </c>
      <c r="I57" s="9" t="s">
        <v>291</v>
      </c>
      <c r="J57" s="9" t="s">
        <v>27</v>
      </c>
      <c r="K57" s="9" t="s">
        <v>292</v>
      </c>
      <c r="L57" s="10">
        <f>B57*K57</f>
      </c>
    </row>
    <row r="58" spans="1:12" x14ac:dyDescent="0.25">
      <c r="A58" s="8">
        <f>ROW()-6</f>
      </c>
      <c r="B58" s="9">
        <v>1</v>
      </c>
      <c r="C58" s="9" t="s">
        <v>293</v>
      </c>
      <c r="D58" s="9" t="s">
        <v>294</v>
      </c>
      <c r="E58" s="9" t="s">
        <v>293</v>
      </c>
      <c r="F58" s="9" t="s">
        <v>0</v>
      </c>
      <c r="G58" s="9" t="s">
        <v>293</v>
      </c>
      <c r="H58" s="9" t="s">
        <v>295</v>
      </c>
      <c r="I58" s="9" t="s">
        <v>296</v>
      </c>
      <c r="J58" s="9" t="s">
        <v>27</v>
      </c>
      <c r="K58" s="9" t="s">
        <v>297</v>
      </c>
      <c r="L58" s="10">
        <f>B58*K58</f>
      </c>
    </row>
    <row r="59" spans="1:12" x14ac:dyDescent="0.25">
      <c r="A59" s="8">
        <f>ROW()-6</f>
      </c>
      <c r="B59" s="9">
        <v>1</v>
      </c>
      <c r="C59" s="9" t="s">
        <v>298</v>
      </c>
      <c r="D59" s="9" t="s">
        <v>299</v>
      </c>
      <c r="E59" s="9" t="s">
        <v>300</v>
      </c>
      <c r="F59" s="9" t="s">
        <v>0</v>
      </c>
      <c r="G59" s="9" t="s">
        <v>298</v>
      </c>
      <c r="H59" s="9" t="s">
        <v>301</v>
      </c>
      <c r="I59" s="9" t="s">
        <v>302</v>
      </c>
      <c r="J59" s="9" t="s">
        <v>27</v>
      </c>
      <c r="K59" s="9" t="s">
        <v>303</v>
      </c>
      <c r="L59" s="10">
        <f>B59*K59</f>
      </c>
    </row>
    <row r="60" spans="1:12" x14ac:dyDescent="0.25">
      <c r="A60" s="8">
        <f>ROW()-6</f>
      </c>
      <c r="B60" s="9">
        <v>1</v>
      </c>
      <c r="C60" s="9" t="s">
        <v>304</v>
      </c>
      <c r="D60" s="9" t="s">
        <v>305</v>
      </c>
      <c r="E60" s="9" t="s">
        <v>306</v>
      </c>
      <c r="F60" s="9" t="s">
        <v>307</v>
      </c>
      <c r="G60" s="9" t="s">
        <v>0</v>
      </c>
      <c r="H60" s="9" t="s">
        <v>0</v>
      </c>
      <c r="I60" s="9" t="s">
        <v>0</v>
      </c>
      <c r="J60" s="9" t="s">
        <v>0</v>
      </c>
      <c r="K60" s="9" t="s">
        <v>0</v>
      </c>
      <c r="L60" s="10">
        <f>B60*K60</f>
      </c>
    </row>
    <row r="61" spans="1:12" x14ac:dyDescent="0.25">
      <c r="A61" s="8">
        <f>ROW()-6</f>
      </c>
      <c r="B61" s="9">
        <v>3</v>
      </c>
      <c r="C61" s="9" t="s">
        <v>308</v>
      </c>
      <c r="D61" s="9" t="s">
        <v>309</v>
      </c>
      <c r="E61" s="9" t="s">
        <v>310</v>
      </c>
      <c r="F61" s="9" t="s">
        <v>0</v>
      </c>
      <c r="G61" s="9" t="s">
        <v>308</v>
      </c>
      <c r="H61" s="9" t="s">
        <v>311</v>
      </c>
      <c r="I61" s="9" t="s">
        <v>312</v>
      </c>
      <c r="J61" s="9" t="s">
        <v>27</v>
      </c>
      <c r="K61" s="9" t="s">
        <v>313</v>
      </c>
      <c r="L61" s="10">
        <f>B61*K61</f>
      </c>
    </row>
    <row r="62" spans="1:12" x14ac:dyDescent="0.25">
      <c r="A62" s="8">
        <f>ROW()-6</f>
      </c>
      <c r="B62" s="9">
        <v>1</v>
      </c>
      <c r="C62" s="9" t="s">
        <v>314</v>
      </c>
      <c r="D62" s="9" t="s">
        <v>315</v>
      </c>
      <c r="E62" s="9" t="s">
        <v>316</v>
      </c>
      <c r="F62" s="9" t="s">
        <v>0</v>
      </c>
      <c r="G62" s="9" t="s">
        <v>314</v>
      </c>
      <c r="H62" s="9" t="s">
        <v>280</v>
      </c>
      <c r="I62" s="9" t="s">
        <v>317</v>
      </c>
      <c r="J62" s="9" t="s">
        <v>27</v>
      </c>
      <c r="K62" s="9" t="s">
        <v>318</v>
      </c>
      <c r="L62" s="10">
        <f>B62*K62</f>
      </c>
    </row>
    <row r="63" spans="1:12" x14ac:dyDescent="0.25">
      <c r="A63" s="8">
        <f>ROW()-6</f>
      </c>
      <c r="B63" s="9">
        <v>1</v>
      </c>
      <c r="C63" s="9" t="s">
        <v>319</v>
      </c>
      <c r="D63" s="9" t="s">
        <v>320</v>
      </c>
      <c r="E63" s="9" t="s">
        <v>321</v>
      </c>
      <c r="F63" s="9" t="s">
        <v>0</v>
      </c>
      <c r="G63" s="9" t="s">
        <v>319</v>
      </c>
      <c r="H63" s="9" t="s">
        <v>322</v>
      </c>
      <c r="I63" s="9" t="s">
        <v>323</v>
      </c>
      <c r="J63" s="9" t="s">
        <v>27</v>
      </c>
      <c r="K63" s="9" t="s">
        <v>324</v>
      </c>
      <c r="L63" s="10">
        <f>B63*K63</f>
      </c>
    </row>
    <row r="64" spans="1:12" x14ac:dyDescent="0.25">
      <c r="A64" s="8">
        <f>ROW()-6</f>
      </c>
      <c r="B64" s="9">
        <v>1</v>
      </c>
      <c r="C64" s="9" t="s">
        <v>325</v>
      </c>
      <c r="D64" s="9" t="s">
        <v>326</v>
      </c>
      <c r="E64" s="9" t="s">
        <v>327</v>
      </c>
      <c r="F64" s="9" t="s">
        <v>325</v>
      </c>
      <c r="G64" s="9" t="s">
        <v>328</v>
      </c>
      <c r="H64" s="9" t="s">
        <v>329</v>
      </c>
      <c r="I64" s="9" t="s">
        <v>330</v>
      </c>
      <c r="J64" s="9" t="s">
        <v>27</v>
      </c>
      <c r="K64" s="9" t="s">
        <v>331</v>
      </c>
      <c r="L64" s="10">
        <f>B64*K64</f>
      </c>
    </row>
    <row r="65" spans="1:12" x14ac:dyDescent="0.25">
      <c r="A65" s="8">
        <f>ROW()-6</f>
      </c>
      <c r="B65" s="9">
        <v>2</v>
      </c>
      <c r="C65" s="9" t="s">
        <v>332</v>
      </c>
      <c r="D65" s="9" t="s">
        <v>333</v>
      </c>
      <c r="E65" s="9" t="s">
        <v>334</v>
      </c>
      <c r="F65" s="9" t="s">
        <v>0</v>
      </c>
      <c r="G65" s="9" t="s">
        <v>332</v>
      </c>
      <c r="H65" s="9" t="s">
        <v>335</v>
      </c>
      <c r="I65" s="9" t="s">
        <v>336</v>
      </c>
      <c r="J65" s="9" t="s">
        <v>27</v>
      </c>
      <c r="K65" s="9" t="s">
        <v>337</v>
      </c>
      <c r="L65" s="10">
        <f>B65*K65</f>
      </c>
    </row>
    <row r="66" spans="1:12" x14ac:dyDescent="0.25">
      <c r="A66" s="8">
        <f>ROW()-6</f>
      </c>
      <c r="B66" s="11">
        <f>SUM(L7:L65)</f>
      </c>
      <c r="C66" s="11"/>
      <c r="D66" s="11"/>
      <c r="E66" s="11"/>
      <c r="F66" s="11"/>
      <c r="G66" s="11"/>
      <c r="H66" s="11"/>
      <c r="I66" s="11"/>
      <c r="J66" s="11"/>
      <c r="K66" s="11"/>
      <c r="L66" s="11"/>
    </row>
  </sheetData>
  <mergeCells count="4">
    <mergeCell ref="A1:D5"/>
    <mergeCell ref="E1:E2"/>
    <mergeCell ref="F1:F2"/>
    <mergeCell ref="B66:L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zoomScale="220" zoomScaleNormal="220">
      <selection activeCell="B14" sqref="B14"/>
    </sheetView>
  </sheetViews>
  <sheetFormatPr defaultRowHeight="14.25" outlineLevelRow="0" outlineLevelCol="1" x14ac:dyDescent="0" defaultColWidth="9" customHeight="1"/>
  <cols>
    <col min="1" max="1" width="23.625" customWidth="1"/>
    <col min="2" max="2" width="57.5" customWidth="1"/>
  </cols>
  <sheetData>
    <row r="1" spans="1:2" x14ac:dyDescent="0.25">
      <c r="A1" s="6" t="s">
        <v>338</v>
      </c>
      <c r="B1" s="6" t="s">
        <v>4</v>
      </c>
    </row>
    <row r="2" spans="1:2" x14ac:dyDescent="0.25">
      <c r="A2" s="6" t="s">
        <v>339</v>
      </c>
      <c r="B2" s="6" t="s">
        <v>340</v>
      </c>
    </row>
    <row r="3" spans="1:2" x14ac:dyDescent="0.25">
      <c r="A3" s="6" t="s">
        <v>341</v>
      </c>
      <c r="B3" s="6" t="s">
        <v>6</v>
      </c>
    </row>
    <row r="4" spans="1:2" x14ac:dyDescent="0.25">
      <c r="A4" s="6" t="s">
        <v>342</v>
      </c>
      <c r="B4" s="6" t="s">
        <v>343</v>
      </c>
    </row>
    <row r="5" spans="1:2" x14ac:dyDescent="0.25">
      <c r="A5" s="6" t="s">
        <v>344</v>
      </c>
      <c r="B5" s="6" t="s">
        <v>6</v>
      </c>
    </row>
    <row r="6" spans="1:2" x14ac:dyDescent="0.25">
      <c r="A6" s="6" t="s">
        <v>345</v>
      </c>
      <c r="B6" s="6">
        <v>174</v>
      </c>
    </row>
    <row r="7" spans="1:2" x14ac:dyDescent="0.25">
      <c r="A7" s="6" t="s">
        <v>346</v>
      </c>
      <c r="B7" s="6" t="s">
        <v>347</v>
      </c>
    </row>
    <row r="8" spans="1:2" x14ac:dyDescent="0.25">
      <c r="A8" s="6" t="s">
        <v>348</v>
      </c>
      <c r="B8" s="6" t="s">
        <v>349</v>
      </c>
    </row>
    <row r="9" spans="1:2" x14ac:dyDescent="0.25">
      <c r="A9" s="6" t="s">
        <v>350</v>
      </c>
      <c r="B9" s="6" t="s">
        <v>8</v>
      </c>
    </row>
    <row r="10" spans="1:2" x14ac:dyDescent="0.25">
      <c r="A10" s="6" t="s">
        <v>351</v>
      </c>
      <c r="B10" s="6" t="s">
        <v>2</v>
      </c>
    </row>
    <row r="11" spans="1:2" x14ac:dyDescent="0.25">
      <c r="A11" s="6" t="s">
        <v>352</v>
      </c>
      <c r="B11" s="6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bom模板</vt:lpstr>
      <vt:lpstr>Field汇总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1722566156976</cp:lastModifiedBy>
  <dcterms:created xsi:type="dcterms:W3CDTF">2024-08-02T02:42:32Z</dcterms:created>
  <dcterms:modified xsi:type="dcterms:W3CDTF">2026-02-10T07:14:53Z</dcterms:modified>
</cp:coreProperties>
</file>