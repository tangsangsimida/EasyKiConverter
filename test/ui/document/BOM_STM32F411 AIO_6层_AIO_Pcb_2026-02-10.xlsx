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<sst xmlns="http://schemas.openxmlformats.org/spreadsheetml/2006/main" count="576" uniqueCount="235">
  <si>
    <t/>
  </si>
  <si>
    <t xml:space="preserve">Bill of Materials </t>
  </si>
  <si>
    <t>BOM_STM32F411 AIO_6层_AIO_Pcb_2026-02-10</t>
  </si>
  <si>
    <t>Project Title：</t>
  </si>
  <si>
    <t>【星火计划】STM32F411 AIO飞控</t>
  </si>
  <si>
    <t>Variant:</t>
  </si>
  <si>
    <t xml:space="preserve"> </t>
  </si>
  <si>
    <t>Report Time：</t>
  </si>
  <si>
    <t>2026年2月10日 13:0:53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</si>
  <si>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</si>
  <si>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</si>
  <si>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</si>
  <si>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</si>
  <si>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</si>
  <si>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</si>
  <si>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</si>
  <si>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</si>
  <si>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</si>
  <si>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</si>
  <si>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</si>
  <si>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</si>
  <si>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10uF</t>
  </si>
  <si>
    <t>C1, C26, C35, C36</t>
  </si>
  <si>
    <t>0402</t>
  </si>
  <si>
    <t>100nF</t>
  </si>
  <si>
    <t>C2, C4, C7, C8, C12, C13, C14, C15, C16, C18, C19, C22, C24, C25, C27, C29, C32, C34</t>
  </si>
  <si>
    <t>2.2uF</t>
  </si>
  <si>
    <t>C3</t>
  </si>
  <si>
    <t>220nF</t>
  </si>
  <si>
    <t>C5</t>
  </si>
  <si>
    <t>4.7uF</t>
  </si>
  <si>
    <t>C6, C9</t>
  </si>
  <si>
    <t>47uF</t>
  </si>
  <si>
    <t>C10, C11</t>
  </si>
  <si>
    <t>0603</t>
  </si>
  <si>
    <t>1uF</t>
  </si>
  <si>
    <t>C20, C21, C23, C30, C31, C33, C38, C39, C42, C55, C56, C59, C66, C67, C70, C77, C78, C81</t>
  </si>
  <si>
    <t>22uF</t>
  </si>
  <si>
    <t>C28</t>
  </si>
  <si>
    <t>1nF</t>
  </si>
  <si>
    <t>C37, C41, C58, C69, C80</t>
  </si>
  <si>
    <t>C40, C57, C68, C79</t>
  </si>
  <si>
    <t>0201</t>
  </si>
  <si>
    <t>C82, C83, C84, C85, C86, C87, C88, C89, C90, C91, C92, C93</t>
  </si>
  <si>
    <t>C0805</t>
  </si>
  <si>
    <t>WAFER-SH1.0-6PWB</t>
  </si>
  <si>
    <t>CN1</t>
  </si>
  <si>
    <t>conn-smd_6p-p1.00_xunpu_wafer-sh1.0-6pwb</t>
  </si>
  <si>
    <t>XUNPU(讯普)</t>
  </si>
  <si>
    <t>C3029345</t>
  </si>
  <si>
    <t>LCSC</t>
  </si>
  <si>
    <t>0.6758</t>
  </si>
  <si>
    <t>B5819W</t>
  </si>
  <si>
    <t>D2</t>
  </si>
  <si>
    <t>SOD-123_L2.7-W1.6-LS3.7-R-RD</t>
  </si>
  <si>
    <t>C7420330</t>
  </si>
  <si>
    <t>0.1031</t>
  </si>
  <si>
    <t>1N4148D1</t>
  </si>
  <si>
    <t>D5</t>
  </si>
  <si>
    <t>DFN1006-2L-RD</t>
  </si>
  <si>
    <t>D6, D7, D8, D9, D10, D11, D12, D13, D14, D15, D16</t>
  </si>
  <si>
    <t>C970035</t>
  </si>
  <si>
    <t>0.1991</t>
  </si>
  <si>
    <t>SMAJ30CA_C698935</t>
  </si>
  <si>
    <t>D17</t>
  </si>
  <si>
    <t>SMA_L4.4-W2.6-LS5.0-BI</t>
  </si>
  <si>
    <t>C19626260</t>
  </si>
  <si>
    <t>0.2207</t>
  </si>
  <si>
    <t>1N5819W_C963381</t>
  </si>
  <si>
    <t>D18</t>
  </si>
  <si>
    <t>C727115</t>
  </si>
  <si>
    <t>0.1332</t>
  </si>
  <si>
    <t>BLM15AG121SN1D</t>
  </si>
  <si>
    <t>L1</t>
  </si>
  <si>
    <t>C85812</t>
  </si>
  <si>
    <t>0.0292</t>
  </si>
  <si>
    <t>TMPC0402HP-100MG-Z02_1</t>
  </si>
  <si>
    <t>L2</t>
  </si>
  <si>
    <t>IND-SMD_L4.5-W4.1_TMPA0402SP_1</t>
  </si>
  <si>
    <t>LED_0402-R</t>
  </si>
  <si>
    <t>LED1</t>
  </si>
  <si>
    <t>LED_0402-B</t>
  </si>
  <si>
    <t>LED2</t>
  </si>
  <si>
    <t>SED3080M</t>
  </si>
  <si>
    <t>Q1, Q3, Q5, Q7, Q9, Q11, Q13, Q15, Q17, Q19, Q21, Q23</t>
  </si>
  <si>
    <t>dfn-8_l3.0-w3.0-p0.65-bl-3</t>
  </si>
  <si>
    <t>C17702946</t>
  </si>
  <si>
    <t>0.9098</t>
  </si>
  <si>
    <t>Q2, Q4, Q6, Q8, Q10, Q12, Q14, Q16, Q18, Q20, Q22, Q24</t>
  </si>
  <si>
    <t>DFN-8_L3.0-W3.0-P0.65-BL</t>
  </si>
  <si>
    <t>MMBT3904M</t>
  </si>
  <si>
    <t>Q25, Q26</t>
  </si>
  <si>
    <t>SOT-723_L1.2-W0.8-P0.40-LS1.2-BR</t>
  </si>
  <si>
    <t>TECH PUBLIC(台舟)</t>
  </si>
  <si>
    <t>C2923360</t>
  </si>
  <si>
    <t>0.2232</t>
  </si>
  <si>
    <t>ICM-42688-P</t>
  </si>
  <si>
    <t>R1</t>
  </si>
  <si>
    <t>LGA-14_L3.0-W2.5-P0.50-TL</t>
  </si>
  <si>
    <t>C1850418</t>
  </si>
  <si>
    <t>82.44</t>
  </si>
  <si>
    <t>10K</t>
  </si>
  <si>
    <t>R2, R4, R6, R9, R10, R17, R39, R44, R46, R59, R64, R66, R79, R84, R86, R99, R104, R106</t>
  </si>
  <si>
    <t>1K</t>
  </si>
  <si>
    <t>R3, R5, R8, R12, R13, R14, R15</t>
  </si>
  <si>
    <t>75R</t>
  </si>
  <si>
    <t>R7, R11</t>
  </si>
  <si>
    <t>100K</t>
  </si>
  <si>
    <t>R18, R23, R24</t>
  </si>
  <si>
    <t>1M</t>
  </si>
  <si>
    <t>R19</t>
  </si>
  <si>
    <t>47K</t>
  </si>
  <si>
    <t>R20</t>
  </si>
  <si>
    <t>51K</t>
  </si>
  <si>
    <t>R21</t>
  </si>
  <si>
    <t>8.2K</t>
  </si>
  <si>
    <t>R22</t>
  </si>
  <si>
    <t>11K</t>
  </si>
  <si>
    <t>R25</t>
  </si>
  <si>
    <t>56R</t>
  </si>
  <si>
    <t>R27</t>
  </si>
  <si>
    <t>1k</t>
  </si>
  <si>
    <t>R28, R29, R30, R37, R48, R49, R50, R57, R68, R69, R70, R77, R88, R89, R90, R97</t>
  </si>
  <si>
    <t>R31, R32, R33, R34, R35, R36, R41, R51, R52, R53, R54, R55, R56, R61, R71, R72, R73, R74, R75, R76, R81, R91, R92, R93, R94, R95, R96, R101</t>
  </si>
  <si>
    <t>20R</t>
  </si>
  <si>
    <t>R38, R42, R45, R58, R62, R65, R78, R82, R85, R98, R102, R105</t>
  </si>
  <si>
    <t>R40, R43, R47, R60, R63, R67, R80, R83, R87, R100, R103, R107</t>
  </si>
  <si>
    <t>1mΩ</t>
  </si>
  <si>
    <t>R240</t>
  </si>
  <si>
    <t>R2512_1</t>
  </si>
  <si>
    <t>EBWM2512F1L00S9</t>
  </si>
  <si>
    <t>RESI(开步睿思）</t>
  </si>
  <si>
    <t>C5224158</t>
  </si>
  <si>
    <t>1.5995</t>
  </si>
  <si>
    <t>K2-1807SN-B4DW-06</t>
  </si>
  <si>
    <t>SW1</t>
  </si>
  <si>
    <t>SW-SMD_L4.0-W2.9-LS4.8-2</t>
  </si>
  <si>
    <t>C840350</t>
  </si>
  <si>
    <t>0.4954</t>
  </si>
  <si>
    <t>STM32F411CEU6</t>
  </si>
  <si>
    <t>U1</t>
  </si>
  <si>
    <t>UFQFPN-48_L7.0-W7.0-P0.50-BL-EP</t>
  </si>
  <si>
    <t>ST(意法半导体)</t>
  </si>
  <si>
    <t>C60420</t>
  </si>
  <si>
    <t>14.06</t>
  </si>
  <si>
    <t>HMC5883L</t>
  </si>
  <si>
    <t>U2</t>
  </si>
  <si>
    <t>lpcc-16_l3.0-w3.0-p0.50-bl</t>
  </si>
  <si>
    <t>C2859540</t>
  </si>
  <si>
    <t>BMP280</t>
  </si>
  <si>
    <t>U3</t>
  </si>
  <si>
    <t>lga-8_l2.5-w2.0-p0.65_amp6127</t>
  </si>
  <si>
    <t>Bosch(博世)</t>
  </si>
  <si>
    <t>C83291</t>
  </si>
  <si>
    <t>39.02</t>
  </si>
  <si>
    <t>W25Q128JVPIQ</t>
  </si>
  <si>
    <t>U4</t>
  </si>
  <si>
    <t>WSON-8_L5.0-W6.0-P1.27-BL-EP</t>
  </si>
  <si>
    <t>WINBOND(华邦)</t>
  </si>
  <si>
    <t>C2803379</t>
  </si>
  <si>
    <t>8.69</t>
  </si>
  <si>
    <t>AT7456E</t>
  </si>
  <si>
    <t>U5</t>
  </si>
  <si>
    <t>tssop-28_l9.7-w4.4-p0.65-ls6.4-bl-ep-2_1</t>
  </si>
  <si>
    <t>杭州中科微</t>
  </si>
  <si>
    <t>C82351</t>
  </si>
  <si>
    <t>23.24</t>
  </si>
  <si>
    <t>RT9013-33GB</t>
  </si>
  <si>
    <t>U7, U9</t>
  </si>
  <si>
    <t>SOT-23-5_L3.0-W1.7-P0.95-LS2.8-BL_1</t>
  </si>
  <si>
    <t>C47773</t>
  </si>
  <si>
    <t>0.9277</t>
  </si>
  <si>
    <t>MP9943GQ-Z</t>
  </si>
  <si>
    <t>U8</t>
  </si>
  <si>
    <t>QFN-8_L3.0-W3.0-P0.65-BL</t>
  </si>
  <si>
    <t>JW5026</t>
  </si>
  <si>
    <t>U10</t>
  </si>
  <si>
    <t>SOT-23-6_L3.1-W1.7-P0.95-LS3.1-BL</t>
  </si>
  <si>
    <t>C185109</t>
  </si>
  <si>
    <t>1.2674</t>
  </si>
  <si>
    <t>4.7uH</t>
  </si>
  <si>
    <t>U11</t>
  </si>
  <si>
    <t>IND-SMD_L2.5-W2.0-VLS252012CX-150M</t>
  </si>
  <si>
    <t>FTC252010S4R7MBCA</t>
  </si>
  <si>
    <t>cjiang(长江微电)</t>
  </si>
  <si>
    <t>C5832360</t>
  </si>
  <si>
    <t>0.2266</t>
  </si>
  <si>
    <t>INA199A1DCKR</t>
  </si>
  <si>
    <t>U12</t>
  </si>
  <si>
    <t>SC-70-6_L2.2-W1.3-P0.65-LS2.1-BR</t>
  </si>
  <si>
    <t>C59135</t>
  </si>
  <si>
    <t>1.1342</t>
  </si>
  <si>
    <t>EFM8BB21F16G-C-QFN20R</t>
  </si>
  <si>
    <t>U13, U15, U17, U19</t>
  </si>
  <si>
    <t>qfn-20_l3.0-w3.0-p0.50-bl-ep1.7_efm8bb21f16g_5</t>
  </si>
  <si>
    <t>C80713</t>
  </si>
  <si>
    <t>8.53</t>
  </si>
  <si>
    <t>FD6288Q</t>
  </si>
  <si>
    <t>U14, U16, U18, U20</t>
  </si>
  <si>
    <t>qfn-24_l4.0-w4.0-p0.50-bl-ep2.6_5</t>
  </si>
  <si>
    <t>Fortior Tech(峰岹)</t>
  </si>
  <si>
    <t>C328453</t>
  </si>
  <si>
    <t>5.32</t>
  </si>
  <si>
    <t>MICRO QTZB5.0</t>
  </si>
  <si>
    <t>USB4</t>
  </si>
  <si>
    <t>micro-usb-smd_micro-qtzb5.0</t>
  </si>
  <si>
    <t>SHOU HAN(首韩)</t>
  </si>
  <si>
    <t>C2681556</t>
  </si>
  <si>
    <t>0.2174</t>
  </si>
  <si>
    <t>8MHz</t>
  </si>
  <si>
    <t>X1</t>
  </si>
  <si>
    <t>OSC-SMD_3P-L3.2-W1.3-P1.20-L</t>
  </si>
  <si>
    <t>C341525</t>
  </si>
  <si>
    <t>1.4537</t>
  </si>
  <si>
    <t>27MHz</t>
  </si>
  <si>
    <t>X2</t>
  </si>
  <si>
    <t>OSC-SMD_4P-L2.0-W1.6-BL</t>
  </si>
  <si>
    <t>C18214311</t>
  </si>
  <si>
    <t>0.4522</t>
  </si>
  <si>
    <t>Project Title</t>
  </si>
  <si>
    <t>Borard Title</t>
  </si>
  <si>
    <t>STM32F411 AIO</t>
  </si>
  <si>
    <t>Schematic Title</t>
  </si>
  <si>
    <t>PCB Title</t>
  </si>
  <si>
    <t>6层_AIO_Pcb</t>
  </si>
  <si>
    <t>Variant Name</t>
  </si>
  <si>
    <t>Total Quantity</t>
  </si>
  <si>
    <t>Report Time</t>
  </si>
  <si>
    <t>13:0:53</t>
  </si>
  <si>
    <t>Report Date</t>
  </si>
  <si>
    <t>2026年2月10日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</si>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</sst>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4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18</v>
      </c>
      <c r="C8" s="9" t="s">
        <v>24</v>
      </c>
      <c r="D8" s="9" t="s">
        <v>25</v>
      </c>
      <c r="E8" s="9" t="s">
        <v>23</v>
      </c>
      <c r="F8" s="9" t="s">
        <v>24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26</v>
      </c>
      <c r="D9" s="9" t="s">
        <v>27</v>
      </c>
      <c r="E9" s="9" t="s">
        <v>23</v>
      </c>
      <c r="F9" s="9" t="s">
        <v>26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28</v>
      </c>
      <c r="D10" s="9" t="s">
        <v>29</v>
      </c>
      <c r="E10" s="9" t="s">
        <v>23</v>
      </c>
      <c r="F10" s="9" t="s">
        <v>28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2</v>
      </c>
      <c r="C11" s="9" t="s">
        <v>30</v>
      </c>
      <c r="D11" s="9" t="s">
        <v>31</v>
      </c>
      <c r="E11" s="9" t="s">
        <v>23</v>
      </c>
      <c r="F11" s="9" t="s">
        <v>30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2</v>
      </c>
      <c r="C12" s="9" t="s">
        <v>32</v>
      </c>
      <c r="D12" s="9" t="s">
        <v>33</v>
      </c>
      <c r="E12" s="9" t="s">
        <v>34</v>
      </c>
      <c r="F12" s="9" t="s">
        <v>32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18</v>
      </c>
      <c r="C13" s="9" t="s">
        <v>35</v>
      </c>
      <c r="D13" s="9" t="s">
        <v>36</v>
      </c>
      <c r="E13" s="9" t="s">
        <v>23</v>
      </c>
      <c r="F13" s="9" t="s">
        <v>35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37</v>
      </c>
      <c r="D14" s="9" t="s">
        <v>38</v>
      </c>
      <c r="E14" s="9" t="s">
        <v>23</v>
      </c>
      <c r="F14" s="9" t="s">
        <v>37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5</v>
      </c>
      <c r="C15" s="9" t="s">
        <v>39</v>
      </c>
      <c r="D15" s="9" t="s">
        <v>40</v>
      </c>
      <c r="E15" s="9" t="s">
        <v>23</v>
      </c>
      <c r="F15" s="9" t="s">
        <v>39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4</v>
      </c>
      <c r="C16" s="9" t="s">
        <v>39</v>
      </c>
      <c r="D16" s="9" t="s">
        <v>41</v>
      </c>
      <c r="E16" s="9" t="s">
        <v>42</v>
      </c>
      <c r="F16" s="9" t="s">
        <v>39</v>
      </c>
      <c r="G16" s="9" t="s">
        <v>0</v>
      </c>
      <c r="H16" s="9" t="s">
        <v>0</v>
      </c>
      <c r="I16" s="9" t="s">
        <v>0</v>
      </c>
      <c r="J16" s="9" t="s">
        <v>42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12</v>
      </c>
      <c r="C17" s="9" t="s">
        <v>37</v>
      </c>
      <c r="D17" s="9" t="s">
        <v>43</v>
      </c>
      <c r="E17" s="9" t="s">
        <v>44</v>
      </c>
      <c r="F17" s="9" t="s">
        <v>37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45</v>
      </c>
      <c r="D18" s="9" t="s">
        <v>46</v>
      </c>
      <c r="E18" s="9" t="s">
        <v>47</v>
      </c>
      <c r="F18" s="9" t="s">
        <v>0</v>
      </c>
      <c r="G18" s="9" t="s">
        <v>45</v>
      </c>
      <c r="H18" s="9" t="s">
        <v>48</v>
      </c>
      <c r="I18" s="9" t="s">
        <v>49</v>
      </c>
      <c r="J18" s="9" t="s">
        <v>50</v>
      </c>
      <c r="K18" s="9" t="s">
        <v>51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52</v>
      </c>
      <c r="D19" s="9" t="s">
        <v>53</v>
      </c>
      <c r="E19" s="9" t="s">
        <v>54</v>
      </c>
      <c r="F19" s="9" t="s">
        <v>0</v>
      </c>
      <c r="G19" s="9" t="s">
        <v>52</v>
      </c>
      <c r="H19" s="9" t="s">
        <v>0</v>
      </c>
      <c r="I19" s="9" t="s">
        <v>55</v>
      </c>
      <c r="J19" s="9" t="s">
        <v>0</v>
      </c>
      <c r="K19" s="9" t="s">
        <v>56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57</v>
      </c>
      <c r="D20" s="9" t="s">
        <v>58</v>
      </c>
      <c r="E20" s="9" t="s">
        <v>59</v>
      </c>
      <c r="F20" s="9" t="s">
        <v>0</v>
      </c>
      <c r="G20" s="9" t="s">
        <v>0</v>
      </c>
      <c r="H20" s="9" t="s">
        <v>0</v>
      </c>
      <c r="I20" s="9" t="s">
        <v>0</v>
      </c>
      <c r="J20" s="9" t="s">
        <v>0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11</v>
      </c>
      <c r="C21" s="9" t="s">
        <v>57</v>
      </c>
      <c r="D21" s="9" t="s">
        <v>60</v>
      </c>
      <c r="E21" s="9" t="s">
        <v>59</v>
      </c>
      <c r="F21" s="9" t="s">
        <v>0</v>
      </c>
      <c r="G21" s="9" t="s">
        <v>0</v>
      </c>
      <c r="H21" s="9" t="s">
        <v>0</v>
      </c>
      <c r="I21" s="9" t="s">
        <v>61</v>
      </c>
      <c r="J21" s="9" t="s">
        <v>0</v>
      </c>
      <c r="K21" s="9" t="s">
        <v>62</v>
      </c>
      <c r="L21" s="10">
        <f>B21*K21</f>
      </c>
    </row>
    <row r="22" spans="1:12" x14ac:dyDescent="0.25">
      <c r="A22" s="8">
        <f>ROW()-6</f>
      </c>
      <c r="B22" s="9">
        <v>1</v>
      </c>
      <c r="C22" s="9" t="s">
        <v>63</v>
      </c>
      <c r="D22" s="9" t="s">
        <v>64</v>
      </c>
      <c r="E22" s="9" t="s">
        <v>65</v>
      </c>
      <c r="F22" s="9" t="s">
        <v>0</v>
      </c>
      <c r="G22" s="9" t="s">
        <v>0</v>
      </c>
      <c r="H22" s="9" t="s">
        <v>0</v>
      </c>
      <c r="I22" s="9" t="s">
        <v>66</v>
      </c>
      <c r="J22" s="9" t="s">
        <v>0</v>
      </c>
      <c r="K22" s="9" t="s">
        <v>67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68</v>
      </c>
      <c r="D23" s="9" t="s">
        <v>69</v>
      </c>
      <c r="E23" s="9" t="s">
        <v>54</v>
      </c>
      <c r="F23" s="9" t="s">
        <v>0</v>
      </c>
      <c r="G23" s="9" t="s">
        <v>0</v>
      </c>
      <c r="H23" s="9" t="s">
        <v>0</v>
      </c>
      <c r="I23" s="9" t="s">
        <v>70</v>
      </c>
      <c r="J23" s="9" t="s">
        <v>0</v>
      </c>
      <c r="K23" s="9" t="s">
        <v>71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72</v>
      </c>
      <c r="D24" s="9" t="s">
        <v>73</v>
      </c>
      <c r="E24" s="9" t="s">
        <v>23</v>
      </c>
      <c r="F24" s="9" t="s">
        <v>0</v>
      </c>
      <c r="G24" s="9" t="s">
        <v>0</v>
      </c>
      <c r="H24" s="9" t="s">
        <v>0</v>
      </c>
      <c r="I24" s="9" t="s">
        <v>74</v>
      </c>
      <c r="J24" s="9" t="s">
        <v>0</v>
      </c>
      <c r="K24" s="9" t="s">
        <v>75</v>
      </c>
      <c r="L24" s="10">
        <f>B24*K24</f>
      </c>
    </row>
    <row r="25" spans="1:12" x14ac:dyDescent="0.25">
      <c r="A25" s="8">
        <f>ROW()-6</f>
      </c>
      <c r="B25" s="9">
        <v>1</v>
      </c>
      <c r="C25" s="9" t="s">
        <v>76</v>
      </c>
      <c r="D25" s="9" t="s">
        <v>77</v>
      </c>
      <c r="E25" s="9" t="s">
        <v>78</v>
      </c>
      <c r="F25" s="9" t="s">
        <v>0</v>
      </c>
      <c r="G25" s="9" t="s">
        <v>0</v>
      </c>
      <c r="H25" s="9" t="s">
        <v>0</v>
      </c>
      <c r="I25" s="9" t="s">
        <v>0</v>
      </c>
      <c r="J25" s="9" t="s">
        <v>0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79</v>
      </c>
      <c r="D26" s="9" t="s">
        <v>80</v>
      </c>
      <c r="E26" s="9" t="s">
        <v>23</v>
      </c>
      <c r="F26" s="9" t="s">
        <v>0</v>
      </c>
      <c r="G26" s="9" t="s">
        <v>0</v>
      </c>
      <c r="H26" s="9" t="s">
        <v>0</v>
      </c>
      <c r="I26" s="9" t="s">
        <v>0</v>
      </c>
      <c r="J26" s="9" t="s">
        <v>0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81</v>
      </c>
      <c r="D27" s="9" t="s">
        <v>82</v>
      </c>
      <c r="E27" s="9" t="s">
        <v>23</v>
      </c>
      <c r="F27" s="9" t="s">
        <v>0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12</v>
      </c>
      <c r="C28" s="9" t="s">
        <v>83</v>
      </c>
      <c r="D28" s="9" t="s">
        <v>84</v>
      </c>
      <c r="E28" s="9" t="s">
        <v>85</v>
      </c>
      <c r="F28" s="9" t="s">
        <v>0</v>
      </c>
      <c r="G28" s="9" t="s">
        <v>0</v>
      </c>
      <c r="H28" s="9" t="s">
        <v>0</v>
      </c>
      <c r="I28" s="9" t="s">
        <v>86</v>
      </c>
      <c r="J28" s="9" t="s">
        <v>0</v>
      </c>
      <c r="K28" s="9" t="s">
        <v>87</v>
      </c>
      <c r="L28" s="10">
        <f>B28*K28</f>
      </c>
    </row>
    <row r="29" spans="1:12" x14ac:dyDescent="0.25">
      <c r="A29" s="8">
        <f>ROW()-6</f>
      </c>
      <c r="B29" s="9">
        <v>12</v>
      </c>
      <c r="C29" s="9" t="s">
        <v>83</v>
      </c>
      <c r="D29" s="9" t="s">
        <v>88</v>
      </c>
      <c r="E29" s="9" t="s">
        <v>89</v>
      </c>
      <c r="F29" s="9" t="s">
        <v>0</v>
      </c>
      <c r="G29" s="9" t="s">
        <v>0</v>
      </c>
      <c r="H29" s="9" t="s">
        <v>0</v>
      </c>
      <c r="I29" s="9" t="s">
        <v>86</v>
      </c>
      <c r="J29" s="9" t="s">
        <v>0</v>
      </c>
      <c r="K29" s="9" t="s">
        <v>87</v>
      </c>
      <c r="L29" s="10">
        <f>B29*K29</f>
      </c>
    </row>
    <row r="30" spans="1:12" x14ac:dyDescent="0.25">
      <c r="A30" s="8">
        <f>ROW()-6</f>
      </c>
      <c r="B30" s="9">
        <v>2</v>
      </c>
      <c r="C30" s="9" t="s">
        <v>90</v>
      </c>
      <c r="D30" s="9" t="s">
        <v>91</v>
      </c>
      <c r="E30" s="9" t="s">
        <v>92</v>
      </c>
      <c r="F30" s="9" t="s">
        <v>0</v>
      </c>
      <c r="G30" s="9" t="s">
        <v>90</v>
      </c>
      <c r="H30" s="9" t="s">
        <v>93</v>
      </c>
      <c r="I30" s="9" t="s">
        <v>94</v>
      </c>
      <c r="J30" s="9" t="s">
        <v>50</v>
      </c>
      <c r="K30" s="9" t="s">
        <v>95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96</v>
      </c>
      <c r="D31" s="9" t="s">
        <v>97</v>
      </c>
      <c r="E31" s="9" t="s">
        <v>98</v>
      </c>
      <c r="F31" s="9" t="s">
        <v>0</v>
      </c>
      <c r="G31" s="9" t="s">
        <v>0</v>
      </c>
      <c r="H31" s="9" t="s">
        <v>0</v>
      </c>
      <c r="I31" s="9" t="s">
        <v>99</v>
      </c>
      <c r="J31" s="9" t="s">
        <v>0</v>
      </c>
      <c r="K31" s="9" t="s">
        <v>100</v>
      </c>
      <c r="L31" s="10">
        <f>B31*K31</f>
      </c>
    </row>
    <row r="32" spans="1:12" x14ac:dyDescent="0.25">
      <c r="A32" s="8">
        <f>ROW()-6</f>
      </c>
      <c r="B32" s="9">
        <v>18</v>
      </c>
      <c r="C32" s="9" t="s">
        <v>101</v>
      </c>
      <c r="D32" s="9" t="s">
        <v>102</v>
      </c>
      <c r="E32" s="9" t="s">
        <v>23</v>
      </c>
      <c r="F32" s="9" t="s">
        <v>101</v>
      </c>
      <c r="G32" s="9" t="s">
        <v>0</v>
      </c>
      <c r="H32" s="9" t="s">
        <v>0</v>
      </c>
      <c r="I32" s="9" t="s">
        <v>0</v>
      </c>
      <c r="J32" s="9" t="s">
        <v>0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7</v>
      </c>
      <c r="C33" s="9" t="s">
        <v>103</v>
      </c>
      <c r="D33" s="9" t="s">
        <v>104</v>
      </c>
      <c r="E33" s="9" t="s">
        <v>23</v>
      </c>
      <c r="F33" s="9" t="s">
        <v>103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2</v>
      </c>
      <c r="C34" s="9" t="s">
        <v>105</v>
      </c>
      <c r="D34" s="9" t="s">
        <v>106</v>
      </c>
      <c r="E34" s="9" t="s">
        <v>23</v>
      </c>
      <c r="F34" s="9" t="s">
        <v>105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3</v>
      </c>
      <c r="C35" s="9" t="s">
        <v>107</v>
      </c>
      <c r="D35" s="9" t="s">
        <v>108</v>
      </c>
      <c r="E35" s="9" t="s">
        <v>23</v>
      </c>
      <c r="F35" s="9" t="s">
        <v>107</v>
      </c>
      <c r="G35" s="9" t="s">
        <v>0</v>
      </c>
      <c r="H35" s="9" t="s">
        <v>0</v>
      </c>
      <c r="I35" s="9" t="s">
        <v>0</v>
      </c>
      <c r="J35" s="9" t="s">
        <v>0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1</v>
      </c>
      <c r="C36" s="9" t="s">
        <v>109</v>
      </c>
      <c r="D36" s="9" t="s">
        <v>110</v>
      </c>
      <c r="E36" s="9" t="s">
        <v>23</v>
      </c>
      <c r="F36" s="9" t="s">
        <v>109</v>
      </c>
      <c r="G36" s="9" t="s">
        <v>0</v>
      </c>
      <c r="H36" s="9" t="s">
        <v>0</v>
      </c>
      <c r="I36" s="9" t="s">
        <v>0</v>
      </c>
      <c r="J36" s="9" t="s">
        <v>0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111</v>
      </c>
      <c r="D37" s="9" t="s">
        <v>112</v>
      </c>
      <c r="E37" s="9" t="s">
        <v>23</v>
      </c>
      <c r="F37" s="9" t="s">
        <v>111</v>
      </c>
      <c r="G37" s="9" t="s">
        <v>0</v>
      </c>
      <c r="H37" s="9" t="s">
        <v>0</v>
      </c>
      <c r="I37" s="9" t="s">
        <v>0</v>
      </c>
      <c r="J37" s="9" t="s">
        <v>0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113</v>
      </c>
      <c r="D38" s="9" t="s">
        <v>114</v>
      </c>
      <c r="E38" s="9" t="s">
        <v>23</v>
      </c>
      <c r="F38" s="9" t="s">
        <v>113</v>
      </c>
      <c r="G38" s="9" t="s">
        <v>0</v>
      </c>
      <c r="H38" s="9" t="s">
        <v>0</v>
      </c>
      <c r="I38" s="9" t="s">
        <v>0</v>
      </c>
      <c r="J38" s="9" t="s">
        <v>0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115</v>
      </c>
      <c r="D39" s="9" t="s">
        <v>116</v>
      </c>
      <c r="E39" s="9" t="s">
        <v>23</v>
      </c>
      <c r="F39" s="9" t="s">
        <v>115</v>
      </c>
      <c r="G39" s="9" t="s">
        <v>0</v>
      </c>
      <c r="H39" s="9" t="s">
        <v>0</v>
      </c>
      <c r="I39" s="9" t="s">
        <v>0</v>
      </c>
      <c r="J39" s="9" t="s">
        <v>0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1</v>
      </c>
      <c r="C40" s="9" t="s">
        <v>117</v>
      </c>
      <c r="D40" s="9" t="s">
        <v>118</v>
      </c>
      <c r="E40" s="9" t="s">
        <v>23</v>
      </c>
      <c r="F40" s="9" t="s">
        <v>117</v>
      </c>
      <c r="G40" s="9" t="s">
        <v>0</v>
      </c>
      <c r="H40" s="9" t="s">
        <v>0</v>
      </c>
      <c r="I40" s="9" t="s">
        <v>0</v>
      </c>
      <c r="J40" s="9" t="s">
        <v>0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119</v>
      </c>
      <c r="D41" s="9" t="s">
        <v>120</v>
      </c>
      <c r="E41" s="9" t="s">
        <v>23</v>
      </c>
      <c r="F41" s="9" t="s">
        <v>119</v>
      </c>
      <c r="G41" s="9" t="s">
        <v>0</v>
      </c>
      <c r="H41" s="9" t="s">
        <v>0</v>
      </c>
      <c r="I41" s="9" t="s">
        <v>0</v>
      </c>
      <c r="J41" s="9" t="s">
        <v>0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16</v>
      </c>
      <c r="C42" s="9" t="s">
        <v>121</v>
      </c>
      <c r="D42" s="9" t="s">
        <v>122</v>
      </c>
      <c r="E42" s="9" t="s">
        <v>42</v>
      </c>
      <c r="F42" s="9" t="s">
        <v>121</v>
      </c>
      <c r="G42" s="9" t="s">
        <v>0</v>
      </c>
      <c r="H42" s="9" t="s">
        <v>0</v>
      </c>
      <c r="I42" s="9" t="s">
        <v>0</v>
      </c>
      <c r="J42" s="9" t="s">
        <v>0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28</v>
      </c>
      <c r="C43" s="9" t="s">
        <v>101</v>
      </c>
      <c r="D43" s="9" t="s">
        <v>123</v>
      </c>
      <c r="E43" s="9" t="s">
        <v>42</v>
      </c>
      <c r="F43" s="9" t="s">
        <v>101</v>
      </c>
      <c r="G43" s="9" t="s">
        <v>0</v>
      </c>
      <c r="H43" s="9" t="s">
        <v>0</v>
      </c>
      <c r="I43" s="9" t="s">
        <v>0</v>
      </c>
      <c r="J43" s="9" t="s">
        <v>0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12</v>
      </c>
      <c r="C44" s="9" t="s">
        <v>124</v>
      </c>
      <c r="D44" s="9" t="s">
        <v>125</v>
      </c>
      <c r="E44" s="9" t="s">
        <v>42</v>
      </c>
      <c r="F44" s="9" t="s">
        <v>124</v>
      </c>
      <c r="G44" s="9" t="s">
        <v>0</v>
      </c>
      <c r="H44" s="9" t="s">
        <v>0</v>
      </c>
      <c r="I44" s="9" t="s">
        <v>0</v>
      </c>
      <c r="J44" s="9" t="s">
        <v>0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12</v>
      </c>
      <c r="C45" s="9" t="s">
        <v>124</v>
      </c>
      <c r="D45" s="9" t="s">
        <v>126</v>
      </c>
      <c r="E45" s="9" t="s">
        <v>23</v>
      </c>
      <c r="F45" s="9" t="s">
        <v>124</v>
      </c>
      <c r="G45" s="9" t="s">
        <v>0</v>
      </c>
      <c r="H45" s="9" t="s">
        <v>0</v>
      </c>
      <c r="I45" s="9" t="s">
        <v>0</v>
      </c>
      <c r="J45" s="9" t="s">
        <v>0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1</v>
      </c>
      <c r="C46" s="9" t="s">
        <v>127</v>
      </c>
      <c r="D46" s="9" t="s">
        <v>128</v>
      </c>
      <c r="E46" s="9" t="s">
        <v>129</v>
      </c>
      <c r="F46" s="9" t="s">
        <v>127</v>
      </c>
      <c r="G46" s="9" t="s">
        <v>130</v>
      </c>
      <c r="H46" s="9" t="s">
        <v>131</v>
      </c>
      <c r="I46" s="9" t="s">
        <v>132</v>
      </c>
      <c r="J46" s="9" t="s">
        <v>50</v>
      </c>
      <c r="K46" s="9" t="s">
        <v>133</v>
      </c>
      <c r="L46" s="10">
        <f>B46*K46</f>
      </c>
    </row>
    <row r="47" spans="1:12" x14ac:dyDescent="0.25">
      <c r="A47" s="8">
        <f>ROW()-6</f>
      </c>
      <c r="B47" s="9">
        <v>1</v>
      </c>
      <c r="C47" s="9" t="s">
        <v>134</v>
      </c>
      <c r="D47" s="9" t="s">
        <v>135</v>
      </c>
      <c r="E47" s="9" t="s">
        <v>136</v>
      </c>
      <c r="F47" s="9" t="s">
        <v>0</v>
      </c>
      <c r="G47" s="9" t="s">
        <v>0</v>
      </c>
      <c r="H47" s="9" t="s">
        <v>0</v>
      </c>
      <c r="I47" s="9" t="s">
        <v>137</v>
      </c>
      <c r="J47" s="9" t="s">
        <v>0</v>
      </c>
      <c r="K47" s="9" t="s">
        <v>138</v>
      </c>
      <c r="L47" s="10">
        <f>B47*K47</f>
      </c>
    </row>
    <row r="48" spans="1:12" x14ac:dyDescent="0.25">
      <c r="A48" s="8">
        <f>ROW()-6</f>
      </c>
      <c r="B48" s="9">
        <v>1</v>
      </c>
      <c r="C48" s="9" t="s">
        <v>139</v>
      </c>
      <c r="D48" s="9" t="s">
        <v>140</v>
      </c>
      <c r="E48" s="9" t="s">
        <v>141</v>
      </c>
      <c r="F48" s="9" t="s">
        <v>0</v>
      </c>
      <c r="G48" s="9" t="s">
        <v>139</v>
      </c>
      <c r="H48" s="9" t="s">
        <v>142</v>
      </c>
      <c r="I48" s="9" t="s">
        <v>143</v>
      </c>
      <c r="J48" s="9" t="s">
        <v>50</v>
      </c>
      <c r="K48" s="9" t="s">
        <v>144</v>
      </c>
      <c r="L48" s="10">
        <f>B48*K48</f>
      </c>
    </row>
    <row r="49" spans="1:12" x14ac:dyDescent="0.25">
      <c r="A49" s="8">
        <f>ROW()-6</f>
      </c>
      <c r="B49" s="9">
        <v>1</v>
      </c>
      <c r="C49" s="9" t="s">
        <v>145</v>
      </c>
      <c r="D49" s="9" t="s">
        <v>146</v>
      </c>
      <c r="E49" s="9" t="s">
        <v>147</v>
      </c>
      <c r="F49" s="9" t="s">
        <v>0</v>
      </c>
      <c r="G49" s="9" t="s">
        <v>145</v>
      </c>
      <c r="H49" s="9" t="s">
        <v>0</v>
      </c>
      <c r="I49" s="9" t="s">
        <v>148</v>
      </c>
      <c r="J49" s="9" t="s">
        <v>50</v>
      </c>
      <c r="K49" s="9" t="s">
        <v>0</v>
      </c>
      <c r="L49" s="10">
        <f>B49*K49</f>
      </c>
    </row>
    <row r="50" spans="1:12" x14ac:dyDescent="0.25">
      <c r="A50" s="8">
        <f>ROW()-6</f>
      </c>
      <c r="B50" s="9">
        <v>1</v>
      </c>
      <c r="C50" s="9" t="s">
        <v>149</v>
      </c>
      <c r="D50" s="9" t="s">
        <v>150</v>
      </c>
      <c r="E50" s="9" t="s">
        <v>151</v>
      </c>
      <c r="F50" s="9" t="s">
        <v>0</v>
      </c>
      <c r="G50" s="9" t="s">
        <v>149</v>
      </c>
      <c r="H50" s="9" t="s">
        <v>152</v>
      </c>
      <c r="I50" s="9" t="s">
        <v>153</v>
      </c>
      <c r="J50" s="9" t="s">
        <v>50</v>
      </c>
      <c r="K50" s="9" t="s">
        <v>154</v>
      </c>
      <c r="L50" s="10">
        <f>B50*K50</f>
      </c>
    </row>
    <row r="51" spans="1:12" x14ac:dyDescent="0.25">
      <c r="A51" s="8">
        <f>ROW()-6</f>
      </c>
      <c r="B51" s="9">
        <v>1</v>
      </c>
      <c r="C51" s="9" t="s">
        <v>155</v>
      </c>
      <c r="D51" s="9" t="s">
        <v>156</v>
      </c>
      <c r="E51" s="9" t="s">
        <v>157</v>
      </c>
      <c r="F51" s="9" t="s">
        <v>0</v>
      </c>
      <c r="G51" s="9" t="s">
        <v>155</v>
      </c>
      <c r="H51" s="9" t="s">
        <v>158</v>
      </c>
      <c r="I51" s="9" t="s">
        <v>159</v>
      </c>
      <c r="J51" s="9" t="s">
        <v>50</v>
      </c>
      <c r="K51" s="9" t="s">
        <v>160</v>
      </c>
      <c r="L51" s="10">
        <f>B51*K51</f>
      </c>
    </row>
    <row r="52" spans="1:12" x14ac:dyDescent="0.25">
      <c r="A52" s="8">
        <f>ROW()-6</f>
      </c>
      <c r="B52" s="9">
        <v>1</v>
      </c>
      <c r="C52" s="9" t="s">
        <v>161</v>
      </c>
      <c r="D52" s="9" t="s">
        <v>162</v>
      </c>
      <c r="E52" s="9" t="s">
        <v>163</v>
      </c>
      <c r="F52" s="9" t="s">
        <v>0</v>
      </c>
      <c r="G52" s="9" t="s">
        <v>161</v>
      </c>
      <c r="H52" s="9" t="s">
        <v>164</v>
      </c>
      <c r="I52" s="9" t="s">
        <v>165</v>
      </c>
      <c r="J52" s="9" t="s">
        <v>50</v>
      </c>
      <c r="K52" s="9" t="s">
        <v>166</v>
      </c>
      <c r="L52" s="10">
        <f>B52*K52</f>
      </c>
    </row>
    <row r="53" spans="1:12" x14ac:dyDescent="0.25">
      <c r="A53" s="8">
        <f>ROW()-6</f>
      </c>
      <c r="B53" s="9">
        <v>2</v>
      </c>
      <c r="C53" s="9" t="s">
        <v>167</v>
      </c>
      <c r="D53" s="9" t="s">
        <v>168</v>
      </c>
      <c r="E53" s="9" t="s">
        <v>169</v>
      </c>
      <c r="F53" s="9" t="s">
        <v>0</v>
      </c>
      <c r="G53" s="9" t="s">
        <v>167</v>
      </c>
      <c r="H53" s="9" t="s">
        <v>0</v>
      </c>
      <c r="I53" s="9" t="s">
        <v>170</v>
      </c>
      <c r="J53" s="9" t="s">
        <v>0</v>
      </c>
      <c r="K53" s="9" t="s">
        <v>171</v>
      </c>
      <c r="L53" s="10">
        <f>B53*K53</f>
      </c>
    </row>
    <row r="54" spans="1:12" x14ac:dyDescent="0.25">
      <c r="A54" s="8">
        <f>ROW()-6</f>
      </c>
      <c r="B54" s="9">
        <v>1</v>
      </c>
      <c r="C54" s="9" t="s">
        <v>172</v>
      </c>
      <c r="D54" s="9" t="s">
        <v>173</v>
      </c>
      <c r="E54" s="9" t="s">
        <v>174</v>
      </c>
      <c r="F54" s="9" t="s">
        <v>0</v>
      </c>
      <c r="G54" s="9" t="s">
        <v>172</v>
      </c>
      <c r="H54" s="9" t="s">
        <v>0</v>
      </c>
      <c r="I54" s="9" t="s">
        <v>0</v>
      </c>
      <c r="J54" s="9" t="s">
        <v>0</v>
      </c>
      <c r="K54" s="9" t="s">
        <v>0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175</v>
      </c>
      <c r="D55" s="9" t="s">
        <v>176</v>
      </c>
      <c r="E55" s="9" t="s">
        <v>177</v>
      </c>
      <c r="F55" s="9" t="s">
        <v>0</v>
      </c>
      <c r="G55" s="9" t="s">
        <v>175</v>
      </c>
      <c r="H55" s="9" t="s">
        <v>0</v>
      </c>
      <c r="I55" s="9" t="s">
        <v>178</v>
      </c>
      <c r="J55" s="9" t="s">
        <v>0</v>
      </c>
      <c r="K55" s="9" t="s">
        <v>179</v>
      </c>
      <c r="L55" s="10">
        <f>B55*K55</f>
      </c>
    </row>
    <row r="56" spans="1:12" x14ac:dyDescent="0.25">
      <c r="A56" s="8">
        <f>ROW()-6</f>
      </c>
      <c r="B56" s="9">
        <v>1</v>
      </c>
      <c r="C56" s="9" t="s">
        <v>180</v>
      </c>
      <c r="D56" s="9" t="s">
        <v>181</v>
      </c>
      <c r="E56" s="9" t="s">
        <v>182</v>
      </c>
      <c r="F56" s="9" t="s">
        <v>180</v>
      </c>
      <c r="G56" s="9" t="s">
        <v>183</v>
      </c>
      <c r="H56" s="9" t="s">
        <v>184</v>
      </c>
      <c r="I56" s="9" t="s">
        <v>185</v>
      </c>
      <c r="J56" s="9" t="s">
        <v>50</v>
      </c>
      <c r="K56" s="9" t="s">
        <v>186</v>
      </c>
      <c r="L56" s="10">
        <f>B56*K56</f>
      </c>
    </row>
    <row r="57" spans="1:12" x14ac:dyDescent="0.25">
      <c r="A57" s="8">
        <f>ROW()-6</f>
      </c>
      <c r="B57" s="9">
        <v>1</v>
      </c>
      <c r="C57" s="9" t="s">
        <v>187</v>
      </c>
      <c r="D57" s="9" t="s">
        <v>188</v>
      </c>
      <c r="E57" s="9" t="s">
        <v>189</v>
      </c>
      <c r="F57" s="9" t="s">
        <v>0</v>
      </c>
      <c r="G57" s="9" t="s">
        <v>187</v>
      </c>
      <c r="H57" s="9" t="s">
        <v>0</v>
      </c>
      <c r="I57" s="9" t="s">
        <v>190</v>
      </c>
      <c r="J57" s="9" t="s">
        <v>0</v>
      </c>
      <c r="K57" s="9" t="s">
        <v>191</v>
      </c>
      <c r="L57" s="10">
        <f>B57*K57</f>
      </c>
    </row>
    <row r="58" spans="1:12" x14ac:dyDescent="0.25">
      <c r="A58" s="8">
        <f>ROW()-6</f>
      </c>
      <c r="B58" s="9">
        <v>4</v>
      </c>
      <c r="C58" s="9" t="s">
        <v>192</v>
      </c>
      <c r="D58" s="9" t="s">
        <v>193</v>
      </c>
      <c r="E58" s="9" t="s">
        <v>194</v>
      </c>
      <c r="F58" s="9" t="s">
        <v>0</v>
      </c>
      <c r="G58" s="9" t="s">
        <v>192</v>
      </c>
      <c r="H58" s="9" t="s">
        <v>0</v>
      </c>
      <c r="I58" s="9" t="s">
        <v>195</v>
      </c>
      <c r="J58" s="9" t="s">
        <v>0</v>
      </c>
      <c r="K58" s="9" t="s">
        <v>196</v>
      </c>
      <c r="L58" s="10">
        <f>B58*K58</f>
      </c>
    </row>
    <row r="59" spans="1:12" x14ac:dyDescent="0.25">
      <c r="A59" s="8">
        <f>ROW()-6</f>
      </c>
      <c r="B59" s="9">
        <v>4</v>
      </c>
      <c r="C59" s="9" t="s">
        <v>197</v>
      </c>
      <c r="D59" s="9" t="s">
        <v>198</v>
      </c>
      <c r="E59" s="9" t="s">
        <v>199</v>
      </c>
      <c r="F59" s="9" t="s">
        <v>0</v>
      </c>
      <c r="G59" s="9" t="s">
        <v>197</v>
      </c>
      <c r="H59" s="9" t="s">
        <v>200</v>
      </c>
      <c r="I59" s="9" t="s">
        <v>201</v>
      </c>
      <c r="J59" s="9" t="s">
        <v>0</v>
      </c>
      <c r="K59" s="9" t="s">
        <v>202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203</v>
      </c>
      <c r="D60" s="9" t="s">
        <v>204</v>
      </c>
      <c r="E60" s="9" t="s">
        <v>205</v>
      </c>
      <c r="F60" s="9" t="s">
        <v>0</v>
      </c>
      <c r="G60" s="9" t="s">
        <v>203</v>
      </c>
      <c r="H60" s="9" t="s">
        <v>206</v>
      </c>
      <c r="I60" s="9" t="s">
        <v>207</v>
      </c>
      <c r="J60" s="9" t="s">
        <v>50</v>
      </c>
      <c r="K60" s="9" t="s">
        <v>208</v>
      </c>
      <c r="L60" s="10">
        <f>B60*K60</f>
      </c>
    </row>
    <row r="61" spans="1:12" x14ac:dyDescent="0.25">
      <c r="A61" s="8">
        <f>ROW()-6</f>
      </c>
      <c r="B61" s="9">
        <v>1</v>
      </c>
      <c r="C61" s="9" t="s">
        <v>209</v>
      </c>
      <c r="D61" s="9" t="s">
        <v>210</v>
      </c>
      <c r="E61" s="9" t="s">
        <v>211</v>
      </c>
      <c r="F61" s="9" t="s">
        <v>0</v>
      </c>
      <c r="G61" s="9" t="s">
        <v>0</v>
      </c>
      <c r="H61" s="9" t="s">
        <v>0</v>
      </c>
      <c r="I61" s="9" t="s">
        <v>212</v>
      </c>
      <c r="J61" s="9" t="s">
        <v>0</v>
      </c>
      <c r="K61" s="9" t="s">
        <v>213</v>
      </c>
      <c r="L61" s="10">
        <f>B61*K61</f>
      </c>
    </row>
    <row r="62" spans="1:12" x14ac:dyDescent="0.25">
      <c r="A62" s="8">
        <f>ROW()-6</f>
      </c>
      <c r="B62" s="9">
        <v>1</v>
      </c>
      <c r="C62" s="9" t="s">
        <v>214</v>
      </c>
      <c r="D62" s="9" t="s">
        <v>215</v>
      </c>
      <c r="E62" s="9" t="s">
        <v>216</v>
      </c>
      <c r="F62" s="9" t="s">
        <v>214</v>
      </c>
      <c r="G62" s="9" t="s">
        <v>0</v>
      </c>
      <c r="H62" s="9" t="s">
        <v>0</v>
      </c>
      <c r="I62" s="9" t="s">
        <v>217</v>
      </c>
      <c r="J62" s="9" t="s">
        <v>0</v>
      </c>
      <c r="K62" s="9" t="s">
        <v>218</v>
      </c>
      <c r="L62" s="10">
        <f>B62*K62</f>
      </c>
    </row>
    <row r="63" spans="1:12" x14ac:dyDescent="0.25">
      <c r="A63" s="8">
        <f>ROW()-6</f>
      </c>
      <c r="B63" s="11">
        <f>SUM(L7:L62)</f>
      </c>
      <c r="C63" s="11"/>
      <c r="D63" s="11"/>
      <c r="E63" s="11"/>
      <c r="F63" s="11"/>
      <c r="G63" s="11"/>
      <c r="H63" s="11"/>
      <c r="I63" s="11"/>
      <c r="J63" s="11"/>
      <c r="K63" s="11"/>
      <c r="L63" s="11"/>
    </row>
  </sheetData>
  <mergeCells count="4">
    <mergeCell ref="A1:D5"/>
    <mergeCell ref="E1:E2"/>
    <mergeCell ref="F1:F2"/>
    <mergeCell ref="B63:L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219</v>
      </c>
      <c r="B1" s="6" t="s">
        <v>4</v>
      </c>
    </row>
    <row r="2" spans="1:2" x14ac:dyDescent="0.25">
      <c r="A2" s="6" t="s">
        <v>220</v>
      </c>
      <c r="B2" s="6" t="s">
        <v>221</v>
      </c>
    </row>
    <row r="3" spans="1:2" x14ac:dyDescent="0.25">
      <c r="A3" s="6" t="s">
        <v>222</v>
      </c>
      <c r="B3" s="6" t="s">
        <v>6</v>
      </c>
    </row>
    <row r="4" spans="1:2" x14ac:dyDescent="0.25">
      <c r="A4" s="6" t="s">
        <v>223</v>
      </c>
      <c r="B4" s="6" t="s">
        <v>224</v>
      </c>
    </row>
    <row r="5" spans="1:2" x14ac:dyDescent="0.25">
      <c r="A5" s="6" t="s">
        <v>225</v>
      </c>
      <c r="B5" s="6" t="s">
        <v>6</v>
      </c>
    </row>
    <row r="6" spans="1:2" x14ac:dyDescent="0.25">
      <c r="A6" s="6" t="s">
        <v>226</v>
      </c>
      <c r="B6" s="6">
        <v>249</v>
      </c>
    </row>
    <row r="7" spans="1:2" x14ac:dyDescent="0.25">
      <c r="A7" s="6" t="s">
        <v>227</v>
      </c>
      <c r="B7" s="6" t="s">
        <v>228</v>
      </c>
    </row>
    <row r="8" spans="1:2" x14ac:dyDescent="0.25">
      <c r="A8" s="6" t="s">
        <v>229</v>
      </c>
      <c r="B8" s="6" t="s">
        <v>230</v>
      </c>
    </row>
    <row r="9" spans="1:2" x14ac:dyDescent="0.25">
      <c r="A9" s="6" t="s">
        <v>231</v>
      </c>
      <c r="B9" s="6" t="s">
        <v>8</v>
      </c>
    </row>
    <row r="10" spans="1:2" x14ac:dyDescent="0.25">
      <c r="A10" s="6" t="s">
        <v>232</v>
      </c>
      <c r="B10" s="6" t="s">
        <v>2</v>
      </c>
    </row>
    <row r="11" spans="1:2" x14ac:dyDescent="0.25">
      <c r="A11" s="6" t="s">
        <v>233</v>
      </c>
      <c r="B11" s="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2026-02-10T05:00:53Z</dcterms:modified>
</cp:coreProperties>
</file>